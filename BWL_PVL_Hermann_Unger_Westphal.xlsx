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3189" documentId="11_7C5055BF84DCCED36523F29B8631F45B3AF06663" xr6:coauthVersionLast="47" xr6:coauthVersionMax="47" xr10:uidLastSave="{86A8E89C-7989-4BA6-8C56-9E1B28AB776C}"/>
  <bookViews>
    <workbookView xWindow="240" yWindow="105" windowWidth="14805" windowHeight="8010" xr2:uid="{00000000-000D-0000-FFFF-FFFF00000000}"/>
  </bookViews>
  <sheets>
    <sheet name="Annahmen" sheetId="1" r:id="rId1"/>
    <sheet name="GuV und Liquidität" sheetId="2" r:id="rId2"/>
    <sheet name="Bilanz" sheetId="4" r:id="rId3"/>
    <sheet name="Umsatz" sheetId="3" r:id="rId4"/>
    <sheet name="Personal" sheetId="5" r:id="rId5"/>
    <sheet name="Aufwand" sheetId="6" r:id="rId6"/>
    <sheet name="Kredit" sheetId="7" r:id="rId7"/>
    <sheet name="Investitionen" sheetId="8" r:id="rId8"/>
  </sheets>
  <definedNames>
    <definedName name="Hallo">Annahmen!$K$10:$K$10</definedName>
    <definedName name="Startjahr">Annahmen!$B$5:$B$5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2" l="1"/>
  <c r="N15" i="2"/>
  <c r="I34" i="1"/>
  <c r="I33" i="1"/>
  <c r="K33" i="1"/>
  <c r="L33" i="1" s="1"/>
  <c r="L34" i="1" s="1"/>
  <c r="C24" i="2"/>
  <c r="P24" i="2"/>
  <c r="B5" i="7"/>
  <c r="B12" i="7"/>
  <c r="B10" i="7" s="1"/>
  <c r="B17" i="7"/>
  <c r="O12" i="7"/>
  <c r="O11" i="7"/>
  <c r="O10" i="7"/>
  <c r="C5" i="7"/>
  <c r="D5" i="7"/>
  <c r="E5" i="7"/>
  <c r="F5" i="7"/>
  <c r="G5" i="7"/>
  <c r="H5" i="7"/>
  <c r="I5" i="7"/>
  <c r="J5" i="7"/>
  <c r="K5" i="7"/>
  <c r="L5" i="7"/>
  <c r="M5" i="7"/>
  <c r="N5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B16" i="7"/>
  <c r="D17" i="4"/>
  <c r="C23" i="4"/>
  <c r="C13" i="4"/>
  <c r="E16" i="4"/>
  <c r="D16" i="4"/>
  <c r="C10" i="4"/>
  <c r="D4" i="4"/>
  <c r="E6" i="4"/>
  <c r="E4" i="4"/>
  <c r="D6" i="4"/>
  <c r="D7" i="4"/>
  <c r="C19" i="4"/>
  <c r="C18" i="4"/>
  <c r="C17" i="4"/>
  <c r="C16" i="4"/>
  <c r="C7" i="4"/>
  <c r="C12" i="4"/>
  <c r="C11" i="4"/>
  <c r="R23" i="2"/>
  <c r="S23" i="2"/>
  <c r="T23" i="2"/>
  <c r="U23" i="2"/>
  <c r="V23" i="2"/>
  <c r="W23" i="2"/>
  <c r="X23" i="2"/>
  <c r="Y23" i="2"/>
  <c r="Z23" i="2"/>
  <c r="AA23" i="2"/>
  <c r="Q23" i="2"/>
  <c r="N23" i="2"/>
  <c r="O11" i="2"/>
  <c r="D11" i="2"/>
  <c r="E11" i="2"/>
  <c r="F11" i="2"/>
  <c r="G11" i="2"/>
  <c r="H11" i="2"/>
  <c r="I11" i="2"/>
  <c r="J11" i="2"/>
  <c r="K11" i="2"/>
  <c r="L11" i="2"/>
  <c r="M11" i="2"/>
  <c r="N11" i="2"/>
  <c r="C11" i="2"/>
  <c r="F20" i="8"/>
  <c r="D22" i="2" s="1"/>
  <c r="G20" i="8"/>
  <c r="E22" i="2" s="1"/>
  <c r="H20" i="8"/>
  <c r="F22" i="2" s="1"/>
  <c r="I20" i="8"/>
  <c r="G22" i="2" s="1"/>
  <c r="J20" i="8"/>
  <c r="H22" i="2" s="1"/>
  <c r="K20" i="8"/>
  <c r="I22" i="2" s="1"/>
  <c r="L20" i="8"/>
  <c r="J22" i="2" s="1"/>
  <c r="M20" i="8"/>
  <c r="K22" i="2" s="1"/>
  <c r="N20" i="8"/>
  <c r="L22" i="2" s="1"/>
  <c r="O20" i="8"/>
  <c r="M22" i="2" s="1"/>
  <c r="P20" i="8"/>
  <c r="N22" i="2" s="1"/>
  <c r="AC20" i="8"/>
  <c r="AA22" i="2" s="1"/>
  <c r="E23" i="2"/>
  <c r="F23" i="2"/>
  <c r="G23" i="2"/>
  <c r="H23" i="2"/>
  <c r="I23" i="2"/>
  <c r="J23" i="2"/>
  <c r="K23" i="2"/>
  <c r="L23" i="2"/>
  <c r="M23" i="2"/>
  <c r="D23" i="2"/>
  <c r="C29" i="2"/>
  <c r="O29" i="2" s="1"/>
  <c r="AB24" i="2"/>
  <c r="D14" i="8"/>
  <c r="D13" i="8"/>
  <c r="C14" i="8"/>
  <c r="C13" i="8"/>
  <c r="B13" i="8"/>
  <c r="D7" i="8"/>
  <c r="C7" i="8"/>
  <c r="B7" i="8"/>
  <c r="AA6" i="6"/>
  <c r="AB8" i="2" s="1"/>
  <c r="P4" i="6"/>
  <c r="Q4" i="6"/>
  <c r="R4" i="6"/>
  <c r="S4" i="6"/>
  <c r="T4" i="6"/>
  <c r="U4" i="6"/>
  <c r="V4" i="6"/>
  <c r="W4" i="6"/>
  <c r="X4" i="6"/>
  <c r="Y4" i="6"/>
  <c r="Z4" i="6"/>
  <c r="O4" i="6"/>
  <c r="AA4" i="6"/>
  <c r="B6" i="7"/>
  <c r="C4" i="6"/>
  <c r="D4" i="6"/>
  <c r="E4" i="6"/>
  <c r="F4" i="6"/>
  <c r="G4" i="6"/>
  <c r="H4" i="6"/>
  <c r="I4" i="6"/>
  <c r="J4" i="6"/>
  <c r="K4" i="6"/>
  <c r="L4" i="6"/>
  <c r="M4" i="6"/>
  <c r="B4" i="6"/>
  <c r="L61" i="1"/>
  <c r="K61" i="1"/>
  <c r="I61" i="1"/>
  <c r="H61" i="1"/>
  <c r="J61" i="1"/>
  <c r="M61" i="1"/>
  <c r="N61" i="1"/>
  <c r="O61" i="1"/>
  <c r="P61" i="1"/>
  <c r="Q61" i="1"/>
  <c r="R61" i="1"/>
  <c r="S61" i="1"/>
  <c r="N6" i="6"/>
  <c r="O8" i="2" s="1"/>
  <c r="N4" i="6"/>
  <c r="C20" i="5"/>
  <c r="D7" i="5"/>
  <c r="D8" i="5"/>
  <c r="D9" i="5"/>
  <c r="D10" i="5"/>
  <c r="D6" i="5"/>
  <c r="A10" i="5"/>
  <c r="A9" i="5"/>
  <c r="A8" i="5"/>
  <c r="A7" i="5"/>
  <c r="G2" i="5"/>
  <c r="F67" i="1"/>
  <c r="F70" i="1"/>
  <c r="F71" i="1"/>
  <c r="B14" i="8" s="1"/>
  <c r="E74" i="1"/>
  <c r="E70" i="1"/>
  <c r="E67" i="1"/>
  <c r="E75" i="1" s="1"/>
  <c r="J54" i="1"/>
  <c r="H49" i="1"/>
  <c r="K49" i="1" s="1"/>
  <c r="G50" i="1"/>
  <c r="G49" i="1"/>
  <c r="F60" i="1"/>
  <c r="F59" i="1"/>
  <c r="E59" i="1"/>
  <c r="H50" i="1"/>
  <c r="K50" i="1" s="1"/>
  <c r="H51" i="1"/>
  <c r="K51" i="1" s="1"/>
  <c r="H52" i="1"/>
  <c r="K52" i="1" s="1"/>
  <c r="H53" i="1"/>
  <c r="K53" i="1" s="1"/>
  <c r="D83" i="1"/>
  <c r="D88" i="1"/>
  <c r="G51" i="1"/>
  <c r="G52" i="1"/>
  <c r="G53" i="1"/>
  <c r="C16" i="1"/>
  <c r="B7" i="7" s="1"/>
  <c r="C6" i="7" s="1"/>
  <c r="C20" i="1"/>
  <c r="C16" i="7" s="1"/>
  <c r="C19" i="7" s="1"/>
  <c r="E33" i="1"/>
  <c r="F43" i="1"/>
  <c r="E43" i="1"/>
  <c r="F41" i="1"/>
  <c r="E41" i="1"/>
  <c r="D54" i="1"/>
  <c r="E50" i="1"/>
  <c r="C7" i="5" s="1"/>
  <c r="E51" i="1"/>
  <c r="C8" i="5" s="1"/>
  <c r="E52" i="1"/>
  <c r="C9" i="5" s="1"/>
  <c r="E53" i="1"/>
  <c r="C10" i="5" s="1"/>
  <c r="E49" i="1"/>
  <c r="C6" i="5" s="1"/>
  <c r="I31" i="1"/>
  <c r="L31" i="1" s="1"/>
  <c r="I32" i="1"/>
  <c r="L32" i="1" s="1"/>
  <c r="I30" i="1"/>
  <c r="C22" i="1"/>
  <c r="C21" i="1"/>
  <c r="C23" i="1"/>
  <c r="C19" i="1"/>
  <c r="CD10" i="7" l="1"/>
  <c r="CE10" i="7"/>
  <c r="CF10" i="7"/>
  <c r="CG10" i="7"/>
  <c r="CH10" i="7"/>
  <c r="CI10" i="7"/>
  <c r="CJ10" i="7"/>
  <c r="CK10" i="7"/>
  <c r="CL10" i="7"/>
  <c r="CM10" i="7"/>
  <c r="CN10" i="7"/>
  <c r="CC10" i="7"/>
  <c r="BQ10" i="7"/>
  <c r="BR10" i="7"/>
  <c r="BS10" i="7"/>
  <c r="BT10" i="7"/>
  <c r="BU10" i="7"/>
  <c r="BV10" i="7"/>
  <c r="BW10" i="7"/>
  <c r="BX10" i="7"/>
  <c r="BY10" i="7"/>
  <c r="BZ10" i="7"/>
  <c r="CA10" i="7"/>
  <c r="BP10" i="7"/>
  <c r="BD10" i="7"/>
  <c r="BE10" i="7"/>
  <c r="BF10" i="7"/>
  <c r="BG10" i="7"/>
  <c r="BH10" i="7"/>
  <c r="BI10" i="7"/>
  <c r="BJ10" i="7"/>
  <c r="BK10" i="7"/>
  <c r="BL10" i="7"/>
  <c r="BM10" i="7"/>
  <c r="BN10" i="7"/>
  <c r="BC10" i="7"/>
  <c r="AQ10" i="7"/>
  <c r="AR10" i="7"/>
  <c r="AS10" i="7"/>
  <c r="AT10" i="7"/>
  <c r="AU10" i="7"/>
  <c r="AV10" i="7"/>
  <c r="AW10" i="7"/>
  <c r="AX10" i="7"/>
  <c r="AY10" i="7"/>
  <c r="AZ10" i="7"/>
  <c r="BA10" i="7"/>
  <c r="AP10" i="7"/>
  <c r="AD10" i="7"/>
  <c r="AE10" i="7"/>
  <c r="AF10" i="7"/>
  <c r="AG10" i="7"/>
  <c r="AH10" i="7"/>
  <c r="AI10" i="7"/>
  <c r="AJ10" i="7"/>
  <c r="AK10" i="7"/>
  <c r="AL10" i="7"/>
  <c r="AM10" i="7"/>
  <c r="AN10" i="7"/>
  <c r="AC10" i="7"/>
  <c r="Q10" i="7"/>
  <c r="R10" i="7"/>
  <c r="S10" i="7"/>
  <c r="T10" i="7"/>
  <c r="U10" i="7"/>
  <c r="V10" i="7"/>
  <c r="W10" i="7"/>
  <c r="X10" i="7"/>
  <c r="Y10" i="7"/>
  <c r="Z10" i="7"/>
  <c r="AA10" i="7"/>
  <c r="P10" i="7"/>
  <c r="P11" i="7"/>
  <c r="P12" i="7"/>
  <c r="CO10" i="7"/>
  <c r="CB10" i="7"/>
  <c r="BO10" i="7"/>
  <c r="BB10" i="7"/>
  <c r="AO10" i="7"/>
  <c r="AB10" i="7"/>
  <c r="P5" i="7"/>
  <c r="P21" i="7" s="1"/>
  <c r="P25" i="2" s="1"/>
  <c r="CA5" i="7"/>
  <c r="CA21" i="7" s="1"/>
  <c r="BZ5" i="7"/>
  <c r="BZ21" i="7" s="1"/>
  <c r="BY5" i="7"/>
  <c r="BY21" i="7" s="1"/>
  <c r="BX5" i="7"/>
  <c r="BX21" i="7" s="1"/>
  <c r="BW5" i="7"/>
  <c r="BW21" i="7" s="1"/>
  <c r="BV5" i="7"/>
  <c r="BV21" i="7" s="1"/>
  <c r="BU5" i="7"/>
  <c r="BU21" i="7" s="1"/>
  <c r="BT5" i="7"/>
  <c r="BT21" i="7" s="1"/>
  <c r="BS5" i="7"/>
  <c r="BS21" i="7" s="1"/>
  <c r="BR5" i="7"/>
  <c r="BR21" i="7" s="1"/>
  <c r="BQ5" i="7"/>
  <c r="BQ21" i="7" s="1"/>
  <c r="BP5" i="7"/>
  <c r="BP21" i="7" s="1"/>
  <c r="BN5" i="7"/>
  <c r="BN21" i="7" s="1"/>
  <c r="BM5" i="7"/>
  <c r="BM21" i="7" s="1"/>
  <c r="BL5" i="7"/>
  <c r="BL21" i="7" s="1"/>
  <c r="BK5" i="7"/>
  <c r="BK21" i="7" s="1"/>
  <c r="BJ5" i="7"/>
  <c r="BJ21" i="7" s="1"/>
  <c r="BI5" i="7"/>
  <c r="BI21" i="7" s="1"/>
  <c r="BH5" i="7"/>
  <c r="BH21" i="7" s="1"/>
  <c r="BG5" i="7"/>
  <c r="BG21" i="7" s="1"/>
  <c r="BF5" i="7"/>
  <c r="BF21" i="7" s="1"/>
  <c r="BE5" i="7"/>
  <c r="BE21" i="7" s="1"/>
  <c r="BD5" i="7"/>
  <c r="BD21" i="7" s="1"/>
  <c r="BC5" i="7"/>
  <c r="BC21" i="7" s="1"/>
  <c r="BA5" i="7"/>
  <c r="BA21" i="7" s="1"/>
  <c r="AZ5" i="7"/>
  <c r="AZ21" i="7" s="1"/>
  <c r="AY5" i="7"/>
  <c r="AY21" i="7" s="1"/>
  <c r="AX5" i="7"/>
  <c r="AX21" i="7" s="1"/>
  <c r="AW5" i="7"/>
  <c r="AW21" i="7" s="1"/>
  <c r="AV5" i="7"/>
  <c r="AV21" i="7" s="1"/>
  <c r="AU5" i="7"/>
  <c r="AU21" i="7" s="1"/>
  <c r="AT5" i="7"/>
  <c r="AT21" i="7" s="1"/>
  <c r="AS5" i="7"/>
  <c r="AS21" i="7" s="1"/>
  <c r="AR5" i="7"/>
  <c r="AR21" i="7" s="1"/>
  <c r="AQ5" i="7"/>
  <c r="AQ21" i="7" s="1"/>
  <c r="AP5" i="7"/>
  <c r="AP21" i="7" s="1"/>
  <c r="AN5" i="7"/>
  <c r="AN21" i="7" s="1"/>
  <c r="AM5" i="7"/>
  <c r="AM21" i="7" s="1"/>
  <c r="AL5" i="7"/>
  <c r="AL21" i="7" s="1"/>
  <c r="AK5" i="7"/>
  <c r="AK21" i="7" s="1"/>
  <c r="AJ5" i="7"/>
  <c r="AJ21" i="7" s="1"/>
  <c r="AI5" i="7"/>
  <c r="AI21" i="7" s="1"/>
  <c r="AH5" i="7"/>
  <c r="AH21" i="7" s="1"/>
  <c r="AG5" i="7"/>
  <c r="AG21" i="7" s="1"/>
  <c r="AF5" i="7"/>
  <c r="AF21" i="7" s="1"/>
  <c r="AE5" i="7"/>
  <c r="AE21" i="7" s="1"/>
  <c r="AD5" i="7"/>
  <c r="AD21" i="7" s="1"/>
  <c r="AC5" i="7"/>
  <c r="AC21" i="7" s="1"/>
  <c r="D15" i="5"/>
  <c r="H54" i="1"/>
  <c r="C17" i="7"/>
  <c r="D16" i="7" s="1"/>
  <c r="C10" i="2"/>
  <c r="E10" i="5"/>
  <c r="J53" i="1"/>
  <c r="E9" i="5"/>
  <c r="J52" i="1"/>
  <c r="J51" i="1"/>
  <c r="E8" i="5"/>
  <c r="AA5" i="6"/>
  <c r="N5" i="6"/>
  <c r="E6" i="5"/>
  <c r="J49" i="1"/>
  <c r="E7" i="5"/>
  <c r="J50" i="1"/>
  <c r="F74" i="1"/>
  <c r="F73" i="1"/>
  <c r="F75" i="1" s="1"/>
  <c r="Z6" i="6"/>
  <c r="AA8" i="2" s="1"/>
  <c r="M6" i="6"/>
  <c r="N8" i="2" s="1"/>
  <c r="Y6" i="6"/>
  <c r="Z8" i="2" s="1"/>
  <c r="L6" i="6"/>
  <c r="M8" i="2" s="1"/>
  <c r="X6" i="6"/>
  <c r="Y8" i="2" s="1"/>
  <c r="K6" i="6"/>
  <c r="L8" i="2" s="1"/>
  <c r="W6" i="6"/>
  <c r="X8" i="2" s="1"/>
  <c r="J6" i="6"/>
  <c r="K8" i="2" s="1"/>
  <c r="V6" i="6"/>
  <c r="W8" i="2" s="1"/>
  <c r="I6" i="6"/>
  <c r="J8" i="2" s="1"/>
  <c r="U6" i="6"/>
  <c r="V8" i="2" s="1"/>
  <c r="H6" i="6"/>
  <c r="I8" i="2" s="1"/>
  <c r="T6" i="6"/>
  <c r="U8" i="2" s="1"/>
  <c r="G6" i="6"/>
  <c r="H8" i="2" s="1"/>
  <c r="Q6" i="6"/>
  <c r="R8" i="2" s="1"/>
  <c r="D6" i="6"/>
  <c r="E8" i="2" s="1"/>
  <c r="O6" i="6"/>
  <c r="P8" i="2" s="1"/>
  <c r="B6" i="6"/>
  <c r="C8" i="2" s="1"/>
  <c r="P6" i="6"/>
  <c r="Q8" i="2" s="1"/>
  <c r="C6" i="6"/>
  <c r="D8" i="2" s="1"/>
  <c r="R6" i="6"/>
  <c r="S8" i="2" s="1"/>
  <c r="E6" i="6"/>
  <c r="F8" i="2" s="1"/>
  <c r="S6" i="6"/>
  <c r="T8" i="2" s="1"/>
  <c r="F6" i="6"/>
  <c r="G8" i="2" s="1"/>
  <c r="AD7" i="8"/>
  <c r="E10" i="8"/>
  <c r="Q7" i="8"/>
  <c r="O24" i="2"/>
  <c r="E17" i="8"/>
  <c r="Q17" i="8" s="1"/>
  <c r="AD13" i="8"/>
  <c r="Q13" i="8"/>
  <c r="CB5" i="7"/>
  <c r="CB21" i="7" s="1"/>
  <c r="BO5" i="7"/>
  <c r="BO21" i="7" s="1"/>
  <c r="BB5" i="7"/>
  <c r="BB21" i="7" s="1"/>
  <c r="AO5" i="7"/>
  <c r="AO21" i="7" s="1"/>
  <c r="AA5" i="7"/>
  <c r="AA21" i="7" s="1"/>
  <c r="AA25" i="2" s="1"/>
  <c r="Z5" i="7"/>
  <c r="Z21" i="7" s="1"/>
  <c r="Z25" i="2" s="1"/>
  <c r="Y5" i="7"/>
  <c r="Y21" i="7" s="1"/>
  <c r="Y25" i="2" s="1"/>
  <c r="X5" i="7"/>
  <c r="X21" i="7" s="1"/>
  <c r="X25" i="2" s="1"/>
  <c r="W5" i="7"/>
  <c r="W21" i="7" s="1"/>
  <c r="W25" i="2" s="1"/>
  <c r="V5" i="7"/>
  <c r="V21" i="7" s="1"/>
  <c r="V25" i="2" s="1"/>
  <c r="U5" i="7"/>
  <c r="U21" i="7" s="1"/>
  <c r="U25" i="2" s="1"/>
  <c r="T5" i="7"/>
  <c r="T21" i="7" s="1"/>
  <c r="T25" i="2" s="1"/>
  <c r="S5" i="7"/>
  <c r="S21" i="7" s="1"/>
  <c r="S25" i="2" s="1"/>
  <c r="R5" i="7"/>
  <c r="R21" i="7" s="1"/>
  <c r="R25" i="2" s="1"/>
  <c r="Q5" i="7"/>
  <c r="Q21" i="7" s="1"/>
  <c r="Q25" i="2" s="1"/>
  <c r="J55" i="1"/>
  <c r="L30" i="1"/>
  <c r="Q11" i="7" l="1"/>
  <c r="Q12" i="7"/>
  <c r="R11" i="7" s="1"/>
  <c r="AB5" i="7"/>
  <c r="AB21" i="7" s="1"/>
  <c r="AB25" i="2" s="1"/>
  <c r="P26" i="2"/>
  <c r="Q26" i="2"/>
  <c r="R26" i="2"/>
  <c r="S26" i="2"/>
  <c r="T26" i="2"/>
  <c r="U26" i="2"/>
  <c r="V26" i="2"/>
  <c r="W26" i="2"/>
  <c r="X26" i="2"/>
  <c r="Y26" i="2"/>
  <c r="Z26" i="2"/>
  <c r="AA26" i="2"/>
  <c r="Q16" i="8"/>
  <c r="F13" i="8"/>
  <c r="F16" i="8" s="1"/>
  <c r="G13" i="8"/>
  <c r="G16" i="8" s="1"/>
  <c r="H13" i="8"/>
  <c r="H16" i="8" s="1"/>
  <c r="I13" i="8"/>
  <c r="I16" i="8" s="1"/>
  <c r="J13" i="8"/>
  <c r="J16" i="8" s="1"/>
  <c r="K13" i="8"/>
  <c r="K16" i="8" s="1"/>
  <c r="L13" i="8"/>
  <c r="L16" i="8" s="1"/>
  <c r="M13" i="8"/>
  <c r="M16" i="8" s="1"/>
  <c r="N13" i="8"/>
  <c r="N16" i="8" s="1"/>
  <c r="O13" i="8"/>
  <c r="O16" i="8" s="1"/>
  <c r="P13" i="8"/>
  <c r="P16" i="8" s="1"/>
  <c r="E13" i="8"/>
  <c r="E16" i="8" s="1"/>
  <c r="S13" i="8"/>
  <c r="T13" i="8"/>
  <c r="U13" i="8"/>
  <c r="V13" i="8"/>
  <c r="W13" i="8"/>
  <c r="X13" i="8"/>
  <c r="Y13" i="8"/>
  <c r="Z13" i="8"/>
  <c r="AA13" i="8"/>
  <c r="AB13" i="8"/>
  <c r="AC13" i="8"/>
  <c r="R13" i="8"/>
  <c r="Q9" i="8"/>
  <c r="F7" i="8"/>
  <c r="F9" i="8" s="1"/>
  <c r="F19" i="8" s="1"/>
  <c r="D20" i="2" s="1"/>
  <c r="G7" i="8"/>
  <c r="G9" i="8" s="1"/>
  <c r="G19" i="8" s="1"/>
  <c r="E20" i="2" s="1"/>
  <c r="H7" i="8"/>
  <c r="H9" i="8" s="1"/>
  <c r="H19" i="8" s="1"/>
  <c r="F20" i="2" s="1"/>
  <c r="I7" i="8"/>
  <c r="I9" i="8" s="1"/>
  <c r="I19" i="8" s="1"/>
  <c r="G20" i="2" s="1"/>
  <c r="J7" i="8"/>
  <c r="J9" i="8" s="1"/>
  <c r="J19" i="8" s="1"/>
  <c r="H20" i="2" s="1"/>
  <c r="K7" i="8"/>
  <c r="K9" i="8" s="1"/>
  <c r="K19" i="8" s="1"/>
  <c r="I20" i="2" s="1"/>
  <c r="L7" i="8"/>
  <c r="L9" i="8" s="1"/>
  <c r="L19" i="8" s="1"/>
  <c r="J20" i="2" s="1"/>
  <c r="M7" i="8"/>
  <c r="M9" i="8" s="1"/>
  <c r="M19" i="8" s="1"/>
  <c r="K20" i="2" s="1"/>
  <c r="N7" i="8"/>
  <c r="N9" i="8" s="1"/>
  <c r="N19" i="8" s="1"/>
  <c r="L20" i="2" s="1"/>
  <c r="O7" i="8"/>
  <c r="O9" i="8" s="1"/>
  <c r="O19" i="8" s="1"/>
  <c r="M20" i="2" s="1"/>
  <c r="P7" i="8"/>
  <c r="P9" i="8" s="1"/>
  <c r="P19" i="8" s="1"/>
  <c r="N20" i="2" s="1"/>
  <c r="E7" i="8"/>
  <c r="E9" i="8" s="1"/>
  <c r="E19" i="8" s="1"/>
  <c r="C20" i="2" s="1"/>
  <c r="E20" i="8"/>
  <c r="C22" i="2" s="1"/>
  <c r="C23" i="2" s="1"/>
  <c r="Q10" i="8" a="1"/>
  <c r="AD9" i="8"/>
  <c r="S7" i="8"/>
  <c r="S9" i="8" s="1"/>
  <c r="T7" i="8"/>
  <c r="T9" i="8" s="1"/>
  <c r="U7" i="8"/>
  <c r="U9" i="8" s="1"/>
  <c r="V7" i="8"/>
  <c r="V9" i="8" s="1"/>
  <c r="W7" i="8"/>
  <c r="W9" i="8" s="1"/>
  <c r="X7" i="8"/>
  <c r="X9" i="8" s="1"/>
  <c r="Y7" i="8"/>
  <c r="Y9" i="8" s="1"/>
  <c r="Z7" i="8"/>
  <c r="Z9" i="8" s="1"/>
  <c r="AA7" i="8"/>
  <c r="AA9" i="8" s="1"/>
  <c r="AB7" i="8"/>
  <c r="AB9" i="8" s="1"/>
  <c r="AC7" i="8"/>
  <c r="AC9" i="8" s="1"/>
  <c r="R7" i="8"/>
  <c r="R9" i="8" s="1"/>
  <c r="R17" i="8"/>
  <c r="AD17" i="8" s="1"/>
  <c r="AD20" i="8" s="1"/>
  <c r="AB22" i="2" s="1"/>
  <c r="AB23" i="2" s="1"/>
  <c r="AD14" i="8"/>
  <c r="AE7" i="5"/>
  <c r="T7" i="5"/>
  <c r="U7" i="5"/>
  <c r="V7" i="5"/>
  <c r="W7" i="5"/>
  <c r="X7" i="5"/>
  <c r="Y7" i="5"/>
  <c r="Z7" i="5"/>
  <c r="AA7" i="5"/>
  <c r="AB7" i="5"/>
  <c r="AC7" i="5"/>
  <c r="AD7" i="5"/>
  <c r="H7" i="5"/>
  <c r="I7" i="5"/>
  <c r="J7" i="5"/>
  <c r="K7" i="5"/>
  <c r="L7" i="5"/>
  <c r="M7" i="5"/>
  <c r="N7" i="5"/>
  <c r="O7" i="5"/>
  <c r="P7" i="5"/>
  <c r="Q7" i="5"/>
  <c r="R7" i="5"/>
  <c r="G7" i="5"/>
  <c r="S7" i="5" s="1"/>
  <c r="AE6" i="5"/>
  <c r="T6" i="5"/>
  <c r="U6" i="5"/>
  <c r="V6" i="5"/>
  <c r="W6" i="5"/>
  <c r="X6" i="5"/>
  <c r="Y6" i="5"/>
  <c r="Z6" i="5"/>
  <c r="AA6" i="5"/>
  <c r="AB6" i="5"/>
  <c r="AC6" i="5"/>
  <c r="AD6" i="5"/>
  <c r="H6" i="5"/>
  <c r="I6" i="5"/>
  <c r="J6" i="5"/>
  <c r="K6" i="5"/>
  <c r="L6" i="5"/>
  <c r="M6" i="5"/>
  <c r="N6" i="5"/>
  <c r="O6" i="5"/>
  <c r="P6" i="5"/>
  <c r="Q6" i="5"/>
  <c r="R6" i="5"/>
  <c r="G6" i="5"/>
  <c r="O7" i="2"/>
  <c r="C5" i="6"/>
  <c r="D7" i="2" s="1"/>
  <c r="D5" i="6"/>
  <c r="E7" i="2" s="1"/>
  <c r="E5" i="6"/>
  <c r="F7" i="2" s="1"/>
  <c r="F5" i="6"/>
  <c r="G7" i="2" s="1"/>
  <c r="G5" i="6"/>
  <c r="H7" i="2" s="1"/>
  <c r="H5" i="6"/>
  <c r="I7" i="2" s="1"/>
  <c r="I5" i="6"/>
  <c r="J7" i="2" s="1"/>
  <c r="J5" i="6"/>
  <c r="K7" i="2" s="1"/>
  <c r="K5" i="6"/>
  <c r="L7" i="2" s="1"/>
  <c r="L5" i="6"/>
  <c r="M7" i="2" s="1"/>
  <c r="M5" i="6"/>
  <c r="N7" i="2" s="1"/>
  <c r="B5" i="6"/>
  <c r="C7" i="2" s="1"/>
  <c r="AB7" i="2"/>
  <c r="P5" i="6"/>
  <c r="Q7" i="2" s="1"/>
  <c r="Q5" i="6"/>
  <c r="R7" i="2" s="1"/>
  <c r="R5" i="6"/>
  <c r="S7" i="2" s="1"/>
  <c r="S5" i="6"/>
  <c r="T7" i="2" s="1"/>
  <c r="T5" i="6"/>
  <c r="U7" i="2" s="1"/>
  <c r="U5" i="6"/>
  <c r="V7" i="2" s="1"/>
  <c r="V5" i="6"/>
  <c r="W7" i="2" s="1"/>
  <c r="W5" i="6"/>
  <c r="X7" i="2" s="1"/>
  <c r="X5" i="6"/>
  <c r="Y7" i="2" s="1"/>
  <c r="Y5" i="6"/>
  <c r="Z7" i="2" s="1"/>
  <c r="Z5" i="6"/>
  <c r="AA7" i="2" s="1"/>
  <c r="O5" i="6"/>
  <c r="P7" i="2" s="1"/>
  <c r="AE8" i="5"/>
  <c r="T8" i="5"/>
  <c r="U8" i="5"/>
  <c r="V8" i="5"/>
  <c r="W8" i="5"/>
  <c r="X8" i="5"/>
  <c r="Y8" i="5"/>
  <c r="Z8" i="5"/>
  <c r="AA8" i="5"/>
  <c r="AB8" i="5"/>
  <c r="AC8" i="5"/>
  <c r="AD8" i="5"/>
  <c r="H8" i="5"/>
  <c r="I8" i="5"/>
  <c r="J8" i="5"/>
  <c r="K8" i="5"/>
  <c r="L8" i="5"/>
  <c r="M8" i="5"/>
  <c r="N8" i="5"/>
  <c r="O8" i="5"/>
  <c r="P8" i="5"/>
  <c r="Q8" i="5"/>
  <c r="R8" i="5"/>
  <c r="G8" i="5"/>
  <c r="S8" i="5" s="1"/>
  <c r="AE9" i="5"/>
  <c r="T9" i="5"/>
  <c r="U9" i="5"/>
  <c r="V9" i="5"/>
  <c r="W9" i="5"/>
  <c r="X9" i="5"/>
  <c r="Y9" i="5"/>
  <c r="Z9" i="5"/>
  <c r="AA9" i="5"/>
  <c r="AB9" i="5"/>
  <c r="AC9" i="5"/>
  <c r="AD9" i="5"/>
  <c r="H9" i="5"/>
  <c r="I9" i="5"/>
  <c r="J9" i="5"/>
  <c r="K9" i="5"/>
  <c r="L9" i="5"/>
  <c r="M9" i="5"/>
  <c r="N9" i="5"/>
  <c r="O9" i="5"/>
  <c r="P9" i="5"/>
  <c r="Q9" i="5"/>
  <c r="R9" i="5"/>
  <c r="G9" i="5"/>
  <c r="S9" i="5" s="1"/>
  <c r="H10" i="5"/>
  <c r="I10" i="5"/>
  <c r="J10" i="5"/>
  <c r="K10" i="5"/>
  <c r="L10" i="5"/>
  <c r="M10" i="5"/>
  <c r="N10" i="5"/>
  <c r="O10" i="5"/>
  <c r="P10" i="5"/>
  <c r="Q10" i="5"/>
  <c r="R10" i="5"/>
  <c r="G10" i="5"/>
  <c r="S10" i="5" s="1"/>
  <c r="E15" i="5"/>
  <c r="K54" i="1"/>
  <c r="K55" i="1" s="1"/>
  <c r="I35" i="1"/>
  <c r="I37" i="1" s="1"/>
  <c r="E42" i="1" s="1"/>
  <c r="E44" i="1"/>
  <c r="E46" i="1" s="1"/>
  <c r="N6" i="3" s="1"/>
  <c r="O4" i="2" s="1"/>
  <c r="L35" i="1" l="1"/>
  <c r="L37" i="1"/>
  <c r="F42" i="1"/>
  <c r="F44" i="1" s="1"/>
  <c r="F46" i="1" s="1"/>
  <c r="AA6" i="3"/>
  <c r="R12" i="7"/>
  <c r="S11" i="7" s="1"/>
  <c r="E5" i="4"/>
  <c r="E7" i="4" s="1"/>
  <c r="D17" i="7"/>
  <c r="E16" i="7" s="1"/>
  <c r="AE10" i="5"/>
  <c r="T10" i="5"/>
  <c r="U10" i="5"/>
  <c r="V10" i="5"/>
  <c r="W10" i="5"/>
  <c r="X10" i="5"/>
  <c r="Y10" i="5"/>
  <c r="Z10" i="5"/>
  <c r="AA10" i="5"/>
  <c r="AB10" i="5"/>
  <c r="AC10" i="5"/>
  <c r="AD10" i="5"/>
  <c r="AF9" i="5"/>
  <c r="AF8" i="5"/>
  <c r="S6" i="5"/>
  <c r="S12" i="5" s="1"/>
  <c r="S19" i="5" s="1"/>
  <c r="G12" i="5"/>
  <c r="G19" i="5" s="1"/>
  <c r="G20" i="5" s="1"/>
  <c r="G21" i="5" s="1"/>
  <c r="C6" i="2" s="1"/>
  <c r="C9" i="2" s="1"/>
  <c r="C12" i="2" s="1"/>
  <c r="R12" i="5"/>
  <c r="R19" i="5" s="1"/>
  <c r="Q12" i="5"/>
  <c r="Q19" i="5" s="1"/>
  <c r="P12" i="5"/>
  <c r="P19" i="5" s="1"/>
  <c r="O12" i="5"/>
  <c r="O19" i="5" s="1"/>
  <c r="N12" i="5"/>
  <c r="N19" i="5" s="1"/>
  <c r="M12" i="5"/>
  <c r="M19" i="5" s="1"/>
  <c r="L12" i="5"/>
  <c r="L19" i="5" s="1"/>
  <c r="K12" i="5"/>
  <c r="K19" i="5" s="1"/>
  <c r="J12" i="5"/>
  <c r="J19" i="5" s="1"/>
  <c r="I12" i="5"/>
  <c r="I19" i="5" s="1"/>
  <c r="H12" i="5"/>
  <c r="H19" i="5" s="1"/>
  <c r="AD12" i="5"/>
  <c r="AD19" i="5" s="1"/>
  <c r="AC12" i="5"/>
  <c r="AC19" i="5" s="1"/>
  <c r="AB12" i="5"/>
  <c r="AB19" i="5" s="1"/>
  <c r="AA12" i="5"/>
  <c r="AA19" i="5" s="1"/>
  <c r="Z12" i="5"/>
  <c r="Z19" i="5" s="1"/>
  <c r="Y12" i="5"/>
  <c r="Y19" i="5" s="1"/>
  <c r="X12" i="5"/>
  <c r="X19" i="5" s="1"/>
  <c r="W12" i="5"/>
  <c r="W19" i="5" s="1"/>
  <c r="V12" i="5"/>
  <c r="V19" i="5" s="1"/>
  <c r="U12" i="5"/>
  <c r="U19" i="5" s="1"/>
  <c r="AF6" i="5"/>
  <c r="T12" i="5"/>
  <c r="T19" i="5" s="1"/>
  <c r="AE12" i="5"/>
  <c r="AE19" i="5" s="1"/>
  <c r="AF7" i="5"/>
  <c r="S14" i="8"/>
  <c r="T14" i="8"/>
  <c r="U14" i="8"/>
  <c r="V14" i="8"/>
  <c r="W14" i="8"/>
  <c r="X14" i="8"/>
  <c r="Y14" i="8"/>
  <c r="Z14" i="8"/>
  <c r="AA14" i="8"/>
  <c r="AB14" i="8"/>
  <c r="AC14" i="8"/>
  <c r="R14" i="8"/>
  <c r="AD16" i="8"/>
  <c r="AD19" i="8"/>
  <c r="Q10" i="8"/>
  <c r="Q20" i="8" s="1"/>
  <c r="O22" i="2" s="1"/>
  <c r="O23" i="2" s="1"/>
  <c r="R20" i="8"/>
  <c r="P22" i="2" s="1"/>
  <c r="P23" i="2" s="1"/>
  <c r="S20" i="8"/>
  <c r="Q22" i="2" s="1"/>
  <c r="T20" i="8"/>
  <c r="R22" i="2" s="1"/>
  <c r="U20" i="8"/>
  <c r="S22" i="2" s="1"/>
  <c r="V20" i="8"/>
  <c r="T22" i="2" s="1"/>
  <c r="W20" i="8"/>
  <c r="U22" i="2" s="1"/>
  <c r="X20" i="8"/>
  <c r="V22" i="2" s="1"/>
  <c r="Y20" i="8"/>
  <c r="W22" i="2" s="1"/>
  <c r="Z20" i="8"/>
  <c r="X22" i="2" s="1"/>
  <c r="AA20" i="8"/>
  <c r="Y22" i="2" s="1"/>
  <c r="AB20" i="8"/>
  <c r="Z22" i="2" s="1"/>
  <c r="R16" i="8"/>
  <c r="R19" i="8" s="1"/>
  <c r="AC16" i="8"/>
  <c r="AC19" i="8" s="1"/>
  <c r="AB16" i="8"/>
  <c r="AB19" i="8" s="1"/>
  <c r="AA16" i="8"/>
  <c r="AA19" i="8" s="1"/>
  <c r="Z16" i="8"/>
  <c r="Z19" i="8" s="1"/>
  <c r="Y16" i="8"/>
  <c r="Y19" i="8" s="1"/>
  <c r="X16" i="8"/>
  <c r="X19" i="8" s="1"/>
  <c r="W16" i="8"/>
  <c r="W19" i="8" s="1"/>
  <c r="V16" i="8"/>
  <c r="V19" i="8" s="1"/>
  <c r="U16" i="8"/>
  <c r="U19" i="8" s="1"/>
  <c r="T16" i="8"/>
  <c r="T19" i="8" s="1"/>
  <c r="S16" i="8"/>
  <c r="S19" i="8" s="1"/>
  <c r="Q19" i="8"/>
  <c r="O20" i="2" s="1"/>
  <c r="AB26" i="2"/>
  <c r="S6" i="3"/>
  <c r="T4" i="2" s="1"/>
  <c r="T6" i="3"/>
  <c r="U4" i="2" s="1"/>
  <c r="U6" i="3"/>
  <c r="V4" i="2" s="1"/>
  <c r="V6" i="3"/>
  <c r="W4" i="2" s="1"/>
  <c r="W6" i="3"/>
  <c r="X4" i="2" s="1"/>
  <c r="X6" i="3"/>
  <c r="Y4" i="2" s="1"/>
  <c r="Y6" i="3"/>
  <c r="Z4" i="2" s="1"/>
  <c r="Z6" i="3"/>
  <c r="AA4" i="2" s="1"/>
  <c r="C6" i="3"/>
  <c r="D4" i="2" s="1"/>
  <c r="D6" i="3"/>
  <c r="E4" i="2" s="1"/>
  <c r="E6" i="3"/>
  <c r="F4" i="2" s="1"/>
  <c r="F6" i="3"/>
  <c r="G4" i="2" s="1"/>
  <c r="G6" i="3"/>
  <c r="H4" i="2" s="1"/>
  <c r="H6" i="3"/>
  <c r="I4" i="2" s="1"/>
  <c r="I6" i="3"/>
  <c r="J4" i="2" s="1"/>
  <c r="J6" i="3"/>
  <c r="K4" i="2" s="1"/>
  <c r="K6" i="3"/>
  <c r="L4" i="2" s="1"/>
  <c r="L6" i="3"/>
  <c r="M4" i="2" s="1"/>
  <c r="M6" i="3"/>
  <c r="N4" i="2" s="1"/>
  <c r="B6" i="3"/>
  <c r="C4" i="2" s="1"/>
  <c r="C14" i="2" s="1"/>
  <c r="R6" i="3" l="1"/>
  <c r="S4" i="2" s="1"/>
  <c r="P6" i="3"/>
  <c r="Q4" i="2" s="1"/>
  <c r="Q6" i="3"/>
  <c r="R4" i="2" s="1"/>
  <c r="O6" i="3"/>
  <c r="P4" i="2" s="1"/>
  <c r="AB4" i="2"/>
  <c r="S12" i="7"/>
  <c r="T11" i="7" s="1"/>
  <c r="C16" i="2"/>
  <c r="C18" i="2"/>
  <c r="Q20" i="2"/>
  <c r="Q11" i="2"/>
  <c r="R20" i="2"/>
  <c r="R11" i="2"/>
  <c r="S20" i="2"/>
  <c r="S11" i="2"/>
  <c r="T20" i="2"/>
  <c r="T11" i="2"/>
  <c r="U20" i="2"/>
  <c r="U11" i="2"/>
  <c r="V20" i="2"/>
  <c r="V11" i="2"/>
  <c r="W20" i="2"/>
  <c r="W11" i="2"/>
  <c r="X20" i="2"/>
  <c r="X11" i="2"/>
  <c r="Y20" i="2"/>
  <c r="Y11" i="2"/>
  <c r="Z20" i="2"/>
  <c r="Z11" i="2"/>
  <c r="AA20" i="2"/>
  <c r="AA11" i="2"/>
  <c r="P20" i="2"/>
  <c r="P11" i="2"/>
  <c r="AB20" i="2"/>
  <c r="AB11" i="2"/>
  <c r="AE20" i="5"/>
  <c r="AE21" i="5"/>
  <c r="AA6" i="2" s="1"/>
  <c r="AA9" i="2" s="1"/>
  <c r="T20" i="5"/>
  <c r="T21" i="5"/>
  <c r="P6" i="2" s="1"/>
  <c r="P9" i="2" s="1"/>
  <c r="U20" i="5"/>
  <c r="U21" i="5"/>
  <c r="Q6" i="2" s="1"/>
  <c r="Q9" i="2" s="1"/>
  <c r="V20" i="5"/>
  <c r="V21" i="5"/>
  <c r="R6" i="2" s="1"/>
  <c r="R9" i="2" s="1"/>
  <c r="W20" i="5"/>
  <c r="W21" i="5"/>
  <c r="S6" i="2" s="1"/>
  <c r="S9" i="2" s="1"/>
  <c r="X20" i="5"/>
  <c r="X21" i="5"/>
  <c r="T6" i="2" s="1"/>
  <c r="T9" i="2" s="1"/>
  <c r="Y20" i="5"/>
  <c r="Y21" i="5"/>
  <c r="U6" i="2" s="1"/>
  <c r="U9" i="2" s="1"/>
  <c r="Z20" i="5"/>
  <c r="Z21" i="5"/>
  <c r="V6" i="2" s="1"/>
  <c r="V9" i="2" s="1"/>
  <c r="AA20" i="5"/>
  <c r="AA21" i="5"/>
  <c r="W6" i="2" s="1"/>
  <c r="W9" i="2" s="1"/>
  <c r="AB20" i="5"/>
  <c r="AB21" i="5"/>
  <c r="X6" i="2" s="1"/>
  <c r="X9" i="2" s="1"/>
  <c r="AC20" i="5"/>
  <c r="AC21" i="5"/>
  <c r="Y6" i="2" s="1"/>
  <c r="Y9" i="2" s="1"/>
  <c r="AD20" i="5"/>
  <c r="AD21" i="5"/>
  <c r="Z6" i="2" s="1"/>
  <c r="Z9" i="2" s="1"/>
  <c r="H20" i="5"/>
  <c r="H21" i="5"/>
  <c r="D6" i="2" s="1"/>
  <c r="D9" i="2" s="1"/>
  <c r="I20" i="5"/>
  <c r="I21" i="5"/>
  <c r="E6" i="2" s="1"/>
  <c r="E9" i="2" s="1"/>
  <c r="J20" i="5"/>
  <c r="J21" i="5"/>
  <c r="F6" i="2" s="1"/>
  <c r="F9" i="2" s="1"/>
  <c r="K20" i="5"/>
  <c r="K21" i="5"/>
  <c r="G6" i="2" s="1"/>
  <c r="G9" i="2" s="1"/>
  <c r="L20" i="5"/>
  <c r="L21" i="5"/>
  <c r="H6" i="2" s="1"/>
  <c r="H9" i="2" s="1"/>
  <c r="M20" i="5"/>
  <c r="M21" i="5"/>
  <c r="I6" i="2" s="1"/>
  <c r="I9" i="2" s="1"/>
  <c r="N20" i="5"/>
  <c r="N21" i="5"/>
  <c r="J6" i="2" s="1"/>
  <c r="J9" i="2" s="1"/>
  <c r="O20" i="5"/>
  <c r="O21" i="5"/>
  <c r="K6" i="2" s="1"/>
  <c r="K9" i="2" s="1"/>
  <c r="P20" i="5"/>
  <c r="P21" i="5"/>
  <c r="L6" i="2" s="1"/>
  <c r="L9" i="2" s="1"/>
  <c r="Q20" i="5"/>
  <c r="Q21" i="5"/>
  <c r="M6" i="2" s="1"/>
  <c r="M9" i="2" s="1"/>
  <c r="R20" i="5"/>
  <c r="R21" i="5"/>
  <c r="N6" i="2" s="1"/>
  <c r="N9" i="2" s="1"/>
  <c r="S20" i="5"/>
  <c r="S21" i="5"/>
  <c r="O6" i="2" s="1"/>
  <c r="O9" i="2" s="1"/>
  <c r="AF10" i="5"/>
  <c r="AF12" i="5" s="1"/>
  <c r="AF19" i="5" s="1"/>
  <c r="E17" i="7"/>
  <c r="F16" i="7" s="1"/>
  <c r="T12" i="7" l="1"/>
  <c r="U11" i="7" s="1"/>
  <c r="C21" i="2"/>
  <c r="F17" i="7"/>
  <c r="G16" i="7" s="1"/>
  <c r="AF20" i="5"/>
  <c r="AF21" i="5"/>
  <c r="AB6" i="2" s="1"/>
  <c r="AB9" i="2" s="1"/>
  <c r="U12" i="7" l="1"/>
  <c r="V11" i="7" s="1"/>
  <c r="G17" i="7"/>
  <c r="H16" i="7" s="1"/>
  <c r="V12" i="7" l="1"/>
  <c r="W11" i="7" s="1"/>
  <c r="H17" i="7"/>
  <c r="I16" i="7" s="1"/>
  <c r="W12" i="7" l="1"/>
  <c r="X11" i="7" s="1"/>
  <c r="I17" i="7"/>
  <c r="J16" i="7" s="1"/>
  <c r="X12" i="7" l="1"/>
  <c r="Y11" i="7" s="1"/>
  <c r="J17" i="7"/>
  <c r="K16" i="7" s="1"/>
  <c r="Y12" i="7" l="1"/>
  <c r="Z11" i="7" s="1"/>
  <c r="K17" i="7"/>
  <c r="L16" i="7" s="1"/>
  <c r="Z12" i="7" l="1"/>
  <c r="AA11" i="7" s="1"/>
  <c r="AB11" i="7" s="1"/>
  <c r="L17" i="7"/>
  <c r="M16" i="7" s="1"/>
  <c r="AA12" i="7" l="1"/>
  <c r="AB12" i="7" s="1"/>
  <c r="AC11" i="7" s="1"/>
  <c r="M17" i="7"/>
  <c r="N16" i="7" s="1"/>
  <c r="O16" i="7" s="1"/>
  <c r="AC12" i="7" l="1"/>
  <c r="AD11" i="7" s="1"/>
  <c r="N17" i="7"/>
  <c r="O17" i="7" s="1"/>
  <c r="P16" i="7" s="1"/>
  <c r="AD12" i="7" l="1"/>
  <c r="AE11" i="7" s="1"/>
  <c r="P17" i="7"/>
  <c r="Q16" i="7" s="1"/>
  <c r="AE12" i="7" l="1"/>
  <c r="AF11" i="7" s="1"/>
  <c r="Q17" i="7"/>
  <c r="R16" i="7" s="1"/>
  <c r="AF12" i="7" l="1"/>
  <c r="AG11" i="7" s="1"/>
  <c r="R17" i="7"/>
  <c r="S16" i="7" s="1"/>
  <c r="AG12" i="7" l="1"/>
  <c r="AH11" i="7" s="1"/>
  <c r="S17" i="7"/>
  <c r="T16" i="7" s="1"/>
  <c r="AH12" i="7" l="1"/>
  <c r="AI11" i="7" s="1"/>
  <c r="T17" i="7"/>
  <c r="U16" i="7" s="1"/>
  <c r="AI12" i="7" l="1"/>
  <c r="AJ11" i="7" s="1"/>
  <c r="U17" i="7"/>
  <c r="V16" i="7" s="1"/>
  <c r="AJ12" i="7" l="1"/>
  <c r="AK11" i="7" s="1"/>
  <c r="V17" i="7"/>
  <c r="W16" i="7" s="1"/>
  <c r="AK12" i="7" l="1"/>
  <c r="AL11" i="7" s="1"/>
  <c r="W17" i="7"/>
  <c r="X16" i="7" s="1"/>
  <c r="AL12" i="7" l="1"/>
  <c r="AM11" i="7" s="1"/>
  <c r="X17" i="7"/>
  <c r="Y16" i="7" s="1"/>
  <c r="AM12" i="7" l="1"/>
  <c r="AN11" i="7" s="1"/>
  <c r="Y17" i="7"/>
  <c r="Z16" i="7" s="1"/>
  <c r="AN12" i="7" l="1"/>
  <c r="AO12" i="7" s="1"/>
  <c r="AP11" i="7" s="1"/>
  <c r="AO11" i="7"/>
  <c r="Z17" i="7"/>
  <c r="AA16" i="7" s="1"/>
  <c r="AB16" i="7" s="1"/>
  <c r="AP12" i="7" l="1"/>
  <c r="AQ11" i="7" s="1"/>
  <c r="AA17" i="7"/>
  <c r="AB17" i="7" s="1"/>
  <c r="AC16" i="7" s="1"/>
  <c r="AQ12" i="7" l="1"/>
  <c r="AR11" i="7" s="1"/>
  <c r="AC17" i="7"/>
  <c r="AD16" i="7" s="1"/>
  <c r="AR12" i="7" l="1"/>
  <c r="AS11" i="7" s="1"/>
  <c r="AD17" i="7"/>
  <c r="AE16" i="7" s="1"/>
  <c r="AS12" i="7" l="1"/>
  <c r="AT11" i="7" s="1"/>
  <c r="AE17" i="7"/>
  <c r="AF16" i="7" s="1"/>
  <c r="AT12" i="7" l="1"/>
  <c r="AU11" i="7" s="1"/>
  <c r="AF17" i="7"/>
  <c r="AG16" i="7" s="1"/>
  <c r="AU12" i="7" l="1"/>
  <c r="AV11" i="7" s="1"/>
  <c r="AG17" i="7"/>
  <c r="AH16" i="7" s="1"/>
  <c r="AV12" i="7" l="1"/>
  <c r="AW11" i="7" s="1"/>
  <c r="AH17" i="7"/>
  <c r="AI16" i="7" s="1"/>
  <c r="AW12" i="7" l="1"/>
  <c r="AX11" i="7" s="1"/>
  <c r="AI17" i="7"/>
  <c r="AJ16" i="7" s="1"/>
  <c r="AX12" i="7" l="1"/>
  <c r="AY11" i="7" s="1"/>
  <c r="AJ17" i="7"/>
  <c r="AK16" i="7" s="1"/>
  <c r="AY12" i="7" l="1"/>
  <c r="AZ11" i="7" s="1"/>
  <c r="AK17" i="7"/>
  <c r="AL16" i="7" s="1"/>
  <c r="AZ12" i="7" l="1"/>
  <c r="BA11" i="7" s="1"/>
  <c r="AL17" i="7"/>
  <c r="AM16" i="7" s="1"/>
  <c r="BA12" i="7" l="1"/>
  <c r="BB12" i="7" s="1"/>
  <c r="BC11" i="7" s="1"/>
  <c r="BB11" i="7"/>
  <c r="AM17" i="7"/>
  <c r="AN16" i="7" s="1"/>
  <c r="AO16" i="7" s="1"/>
  <c r="BC12" i="7" l="1"/>
  <c r="BD11" i="7" s="1"/>
  <c r="AN17" i="7"/>
  <c r="AO17" i="7" s="1"/>
  <c r="AP16" i="7" s="1"/>
  <c r="BD12" i="7" l="1"/>
  <c r="BE11" i="7" s="1"/>
  <c r="AP17" i="7"/>
  <c r="AQ16" i="7" s="1"/>
  <c r="BE12" i="7" l="1"/>
  <c r="BF11" i="7" s="1"/>
  <c r="AQ17" i="7"/>
  <c r="AR16" i="7" s="1"/>
  <c r="BF12" i="7" l="1"/>
  <c r="BG11" i="7" s="1"/>
  <c r="AR17" i="7"/>
  <c r="AS16" i="7" s="1"/>
  <c r="BG12" i="7" l="1"/>
  <c r="BH11" i="7" s="1"/>
  <c r="AS17" i="7"/>
  <c r="AT16" i="7" s="1"/>
  <c r="BH12" i="7" l="1"/>
  <c r="BI11" i="7" s="1"/>
  <c r="AT17" i="7"/>
  <c r="AU16" i="7" s="1"/>
  <c r="BI12" i="7" l="1"/>
  <c r="BJ11" i="7" s="1"/>
  <c r="AU17" i="7"/>
  <c r="AV16" i="7" s="1"/>
  <c r="BJ12" i="7" l="1"/>
  <c r="BK11" i="7" s="1"/>
  <c r="AV17" i="7"/>
  <c r="AW16" i="7" s="1"/>
  <c r="BK12" i="7" l="1"/>
  <c r="BL11" i="7" s="1"/>
  <c r="AW17" i="7"/>
  <c r="AX16" i="7" s="1"/>
  <c r="BL12" i="7" l="1"/>
  <c r="BM11" i="7" s="1"/>
  <c r="AX17" i="7"/>
  <c r="AY16" i="7" s="1"/>
  <c r="BM12" i="7" l="1"/>
  <c r="BN11" i="7" s="1"/>
  <c r="AY17" i="7"/>
  <c r="AZ16" i="7" s="1"/>
  <c r="BN12" i="7" l="1"/>
  <c r="BO12" i="7" s="1"/>
  <c r="BP11" i="7" s="1"/>
  <c r="BO11" i="7"/>
  <c r="AZ17" i="7"/>
  <c r="BA16" i="7" s="1"/>
  <c r="BB16" i="7" s="1"/>
  <c r="BP12" i="7" l="1"/>
  <c r="BQ11" i="7" s="1"/>
  <c r="BA17" i="7"/>
  <c r="BB17" i="7" s="1"/>
  <c r="BC16" i="7" s="1"/>
  <c r="BQ12" i="7" l="1"/>
  <c r="BR11" i="7" s="1"/>
  <c r="BC17" i="7"/>
  <c r="BD16" i="7" s="1"/>
  <c r="BR12" i="7" l="1"/>
  <c r="BS11" i="7" s="1"/>
  <c r="BD17" i="7"/>
  <c r="BE16" i="7" s="1"/>
  <c r="BS12" i="7" l="1"/>
  <c r="BT11" i="7" s="1"/>
  <c r="BE17" i="7"/>
  <c r="BF16" i="7" s="1"/>
  <c r="BT12" i="7" l="1"/>
  <c r="BU11" i="7" s="1"/>
  <c r="BF17" i="7"/>
  <c r="BG16" i="7" s="1"/>
  <c r="BU12" i="7" l="1"/>
  <c r="BV11" i="7" s="1"/>
  <c r="BG17" i="7"/>
  <c r="BH16" i="7" s="1"/>
  <c r="BV12" i="7" l="1"/>
  <c r="BW11" i="7" s="1"/>
  <c r="BH17" i="7"/>
  <c r="BI16" i="7" s="1"/>
  <c r="BW12" i="7" l="1"/>
  <c r="BX11" i="7" s="1"/>
  <c r="BI17" i="7"/>
  <c r="BJ16" i="7" s="1"/>
  <c r="BX12" i="7" l="1"/>
  <c r="BY11" i="7" s="1"/>
  <c r="BJ17" i="7"/>
  <c r="BK16" i="7" s="1"/>
  <c r="BY12" i="7" l="1"/>
  <c r="BZ11" i="7" s="1"/>
  <c r="BK17" i="7"/>
  <c r="BL16" i="7" s="1"/>
  <c r="BZ12" i="7" l="1"/>
  <c r="CA11" i="7" s="1"/>
  <c r="BL17" i="7"/>
  <c r="BM16" i="7" s="1"/>
  <c r="CA12" i="7" l="1"/>
  <c r="CB12" i="7" s="1"/>
  <c r="CC11" i="7" s="1"/>
  <c r="CB11" i="7"/>
  <c r="BM17" i="7"/>
  <c r="BN16" i="7" s="1"/>
  <c r="BO16" i="7" s="1"/>
  <c r="CC12" i="7" l="1"/>
  <c r="CD11" i="7" s="1"/>
  <c r="BN17" i="7"/>
  <c r="BO17" i="7" s="1"/>
  <c r="BP16" i="7" s="1"/>
  <c r="CD12" i="7" l="1"/>
  <c r="CE11" i="7" s="1"/>
  <c r="BP17" i="7"/>
  <c r="BQ16" i="7" s="1"/>
  <c r="CE12" i="7" l="1"/>
  <c r="CF11" i="7" s="1"/>
  <c r="BQ17" i="7"/>
  <c r="BR16" i="7" s="1"/>
  <c r="CF12" i="7" l="1"/>
  <c r="CG11" i="7" s="1"/>
  <c r="BR17" i="7"/>
  <c r="BS16" i="7" s="1"/>
  <c r="CG12" i="7" l="1"/>
  <c r="CH11" i="7" s="1"/>
  <c r="BS17" i="7"/>
  <c r="BT16" i="7" s="1"/>
  <c r="CH12" i="7" l="1"/>
  <c r="CI11" i="7" s="1"/>
  <c r="BT17" i="7"/>
  <c r="BU16" i="7" s="1"/>
  <c r="CI12" i="7" l="1"/>
  <c r="CJ11" i="7" s="1"/>
  <c r="BU17" i="7"/>
  <c r="BV16" i="7" s="1"/>
  <c r="CJ12" i="7" l="1"/>
  <c r="CK11" i="7" s="1"/>
  <c r="BV17" i="7"/>
  <c r="BW16" i="7" s="1"/>
  <c r="CK12" i="7" l="1"/>
  <c r="CL11" i="7" s="1"/>
  <c r="BW17" i="7"/>
  <c r="BX16" i="7" s="1"/>
  <c r="CL12" i="7" l="1"/>
  <c r="CM11" i="7" s="1"/>
  <c r="BX17" i="7"/>
  <c r="BY16" i="7" s="1"/>
  <c r="CM12" i="7" l="1"/>
  <c r="CN11" i="7" s="1"/>
  <c r="BY17" i="7"/>
  <c r="BZ16" i="7" s="1"/>
  <c r="CN12" i="7" l="1"/>
  <c r="CO12" i="7" s="1"/>
  <c r="CO11" i="7"/>
  <c r="BZ17" i="7"/>
  <c r="CA17" i="7" l="1"/>
  <c r="CB17" i="7" s="1"/>
  <c r="CA16" i="7"/>
  <c r="CB16" i="7" s="1"/>
  <c r="C21" i="7"/>
  <c r="C25" i="2"/>
  <c r="C26" i="2"/>
  <c r="C27" i="2"/>
  <c r="C28" i="2"/>
  <c r="C30" i="2"/>
  <c r="O5" i="7"/>
  <c r="O21" i="7" s="1"/>
  <c r="O25" i="2" s="1"/>
  <c r="O26" i="2" s="1"/>
  <c r="D21" i="7"/>
  <c r="D25" i="2" s="1"/>
  <c r="D26" i="2" s="1"/>
  <c r="E21" i="7"/>
  <c r="E25" i="2" s="1"/>
  <c r="E26" i="2" s="1"/>
  <c r="F21" i="7"/>
  <c r="F25" i="2" s="1"/>
  <c r="F26" i="2" s="1"/>
  <c r="G21" i="7"/>
  <c r="G25" i="2" s="1"/>
  <c r="G26" i="2" s="1"/>
  <c r="H21" i="7"/>
  <c r="H25" i="2" s="1"/>
  <c r="H26" i="2" s="1"/>
  <c r="I21" i="7"/>
  <c r="I25" i="2" s="1"/>
  <c r="I26" i="2" s="1"/>
  <c r="J21" i="7"/>
  <c r="J25" i="2" s="1"/>
  <c r="J26" i="2" s="1"/>
  <c r="K21" i="7"/>
  <c r="K25" i="2" s="1"/>
  <c r="K26" i="2" s="1"/>
  <c r="L21" i="7"/>
  <c r="L25" i="2" s="1"/>
  <c r="L26" i="2" s="1"/>
  <c r="M21" i="7"/>
  <c r="M25" i="2" s="1"/>
  <c r="M26" i="2" s="1"/>
  <c r="N21" i="7"/>
  <c r="N25" i="2" s="1"/>
  <c r="N26" i="2" s="1"/>
  <c r="C7" i="7"/>
  <c r="C23" i="7"/>
  <c r="D6" i="7" l="1"/>
  <c r="D7" i="7"/>
  <c r="E6" i="7" l="1"/>
  <c r="E19" i="7" s="1"/>
  <c r="E10" i="2" s="1"/>
  <c r="E12" i="2" s="1"/>
  <c r="E14" i="2" s="1"/>
  <c r="E7" i="7"/>
  <c r="D23" i="7"/>
  <c r="D19" i="7"/>
  <c r="D10" i="2" s="1"/>
  <c r="D12" i="2" s="1"/>
  <c r="D14" i="2" s="1"/>
  <c r="D18" i="2" l="1"/>
  <c r="D21" i="2" s="1"/>
  <c r="D27" i="2" s="1"/>
  <c r="D28" i="2" s="1"/>
  <c r="D16" i="2"/>
  <c r="F6" i="7"/>
  <c r="F7" i="7"/>
  <c r="E23" i="7"/>
  <c r="E18" i="2"/>
  <c r="E16" i="2"/>
  <c r="G6" i="7" l="1"/>
  <c r="G19" i="7" s="1"/>
  <c r="G10" i="2" s="1"/>
  <c r="G12" i="2" s="1"/>
  <c r="G14" i="2" s="1"/>
  <c r="G7" i="7"/>
  <c r="F23" i="7"/>
  <c r="F19" i="7"/>
  <c r="F10" i="2" s="1"/>
  <c r="F12" i="2" s="1"/>
  <c r="F14" i="2" s="1"/>
  <c r="D30" i="2"/>
  <c r="F18" i="2" l="1"/>
  <c r="F21" i="2" s="1"/>
  <c r="F27" i="2" s="1"/>
  <c r="F16" i="2"/>
  <c r="H6" i="7"/>
  <c r="H7" i="7"/>
  <c r="G23" i="7"/>
  <c r="G18" i="2"/>
  <c r="G21" i="2" s="1"/>
  <c r="G27" i="2" s="1"/>
  <c r="G16" i="2"/>
  <c r="I6" i="7" l="1"/>
  <c r="I19" i="7" s="1"/>
  <c r="I10" i="2" s="1"/>
  <c r="I12" i="2" s="1"/>
  <c r="I14" i="2" s="1"/>
  <c r="I7" i="7"/>
  <c r="H23" i="7"/>
  <c r="H19" i="7"/>
  <c r="H10" i="2" s="1"/>
  <c r="H12" i="2" s="1"/>
  <c r="H14" i="2" s="1"/>
  <c r="H18" i="2" l="1"/>
  <c r="H16" i="2"/>
  <c r="J6" i="7"/>
  <c r="J7" i="7"/>
  <c r="I23" i="7"/>
  <c r="I18" i="2"/>
  <c r="I21" i="2" s="1"/>
  <c r="I27" i="2" s="1"/>
  <c r="I16" i="2"/>
  <c r="K6" i="7" l="1"/>
  <c r="K19" i="7" s="1"/>
  <c r="K10" i="2" s="1"/>
  <c r="K12" i="2" s="1"/>
  <c r="K14" i="2" s="1"/>
  <c r="K7" i="7"/>
  <c r="J23" i="7"/>
  <c r="J19" i="7"/>
  <c r="J10" i="2" s="1"/>
  <c r="J12" i="2" s="1"/>
  <c r="J14" i="2" s="1"/>
  <c r="J18" i="2" l="1"/>
  <c r="J21" i="2" s="1"/>
  <c r="J27" i="2" s="1"/>
  <c r="J16" i="2"/>
  <c r="L6" i="7"/>
  <c r="L7" i="7"/>
  <c r="K23" i="7"/>
  <c r="K18" i="2"/>
  <c r="K16" i="2"/>
  <c r="M6" i="7" l="1"/>
  <c r="M19" i="7" s="1"/>
  <c r="M10" i="2" s="1"/>
  <c r="M12" i="2" s="1"/>
  <c r="M14" i="2" s="1"/>
  <c r="M7" i="7"/>
  <c r="L23" i="7"/>
  <c r="L19" i="7"/>
  <c r="L10" i="2" s="1"/>
  <c r="L12" i="2" s="1"/>
  <c r="L14" i="2" s="1"/>
  <c r="L18" i="2" l="1"/>
  <c r="L21" i="2" s="1"/>
  <c r="L27" i="2" s="1"/>
  <c r="L16" i="2"/>
  <c r="N6" i="7"/>
  <c r="N7" i="7"/>
  <c r="M23" i="7"/>
  <c r="M18" i="2"/>
  <c r="M21" i="2" s="1"/>
  <c r="M27" i="2" s="1"/>
  <c r="M16" i="2"/>
  <c r="O7" i="7" l="1"/>
  <c r="N23" i="7"/>
  <c r="N19" i="7"/>
  <c r="N10" i="2" s="1"/>
  <c r="N12" i="2" s="1"/>
  <c r="N14" i="2" s="1"/>
  <c r="O6" i="7"/>
  <c r="O19" i="7" s="1"/>
  <c r="O10" i="2" s="1"/>
  <c r="O12" i="2" s="1"/>
  <c r="O14" i="2" s="1"/>
  <c r="O18" i="2" l="1"/>
  <c r="N18" i="2"/>
  <c r="N16" i="2"/>
  <c r="P6" i="7"/>
  <c r="P7" i="7"/>
  <c r="O23" i="7"/>
  <c r="D21" i="4" s="1"/>
  <c r="Q6" i="7" l="1"/>
  <c r="Q19" i="7" s="1"/>
  <c r="Q10" i="2" s="1"/>
  <c r="Q12" i="2" s="1"/>
  <c r="Q14" i="2" s="1"/>
  <c r="Q7" i="7"/>
  <c r="P23" i="7"/>
  <c r="P19" i="7"/>
  <c r="P10" i="2" s="1"/>
  <c r="P12" i="2" s="1"/>
  <c r="P14" i="2" s="1"/>
  <c r="O19" i="2"/>
  <c r="N19" i="2"/>
  <c r="N21" i="2" s="1"/>
  <c r="N27" i="2" s="1"/>
  <c r="K19" i="2"/>
  <c r="K21" i="2" s="1"/>
  <c r="K27" i="2" s="1"/>
  <c r="H19" i="2"/>
  <c r="H21" i="2" s="1"/>
  <c r="H27" i="2" s="1"/>
  <c r="E19" i="2"/>
  <c r="E21" i="2" s="1"/>
  <c r="E27" i="2" s="1"/>
  <c r="E28" i="2" s="1"/>
  <c r="O15" i="2"/>
  <c r="O16" i="2" s="1"/>
  <c r="D18" i="4" s="1"/>
  <c r="O21" i="2"/>
  <c r="O27" i="2" s="1"/>
  <c r="E17" i="4" l="1"/>
  <c r="D19" i="4"/>
  <c r="D23" i="4" s="1"/>
  <c r="F28" i="2"/>
  <c r="E30" i="2"/>
  <c r="P18" i="2"/>
  <c r="P21" i="2" s="1"/>
  <c r="P27" i="2" s="1"/>
  <c r="P28" i="2" s="1"/>
  <c r="P16" i="2"/>
  <c r="R7" i="7"/>
  <c r="R6" i="7"/>
  <c r="Q23" i="7"/>
  <c r="Q16" i="2"/>
  <c r="Q18" i="2"/>
  <c r="Q21" i="2" s="1"/>
  <c r="Q27" i="2" s="1"/>
  <c r="R19" i="7" l="1"/>
  <c r="R10" i="2" s="1"/>
  <c r="R12" i="2" s="1"/>
  <c r="R14" i="2" s="1"/>
  <c r="S7" i="7"/>
  <c r="S6" i="7"/>
  <c r="R23" i="7"/>
  <c r="Q28" i="2"/>
  <c r="G28" i="2"/>
  <c r="F30" i="2"/>
  <c r="H28" i="2" l="1"/>
  <c r="G30" i="2"/>
  <c r="S19" i="7"/>
  <c r="S10" i="2" s="1"/>
  <c r="S12" i="2" s="1"/>
  <c r="S14" i="2" s="1"/>
  <c r="T7" i="7"/>
  <c r="T6" i="7"/>
  <c r="S23" i="7"/>
  <c r="R18" i="2"/>
  <c r="R16" i="2"/>
  <c r="T19" i="7" l="1"/>
  <c r="T10" i="2" s="1"/>
  <c r="T12" i="2" s="1"/>
  <c r="T14" i="2" s="1"/>
  <c r="U7" i="7"/>
  <c r="U6" i="7"/>
  <c r="T23" i="7"/>
  <c r="S16" i="2"/>
  <c r="S18" i="2"/>
  <c r="S21" i="2" s="1"/>
  <c r="S27" i="2" s="1"/>
  <c r="I28" i="2"/>
  <c r="H30" i="2"/>
  <c r="J28" i="2" l="1"/>
  <c r="I30" i="2"/>
  <c r="U19" i="7"/>
  <c r="U10" i="2" s="1"/>
  <c r="U12" i="2" s="1"/>
  <c r="U14" i="2" s="1"/>
  <c r="V7" i="7"/>
  <c r="V6" i="7"/>
  <c r="U23" i="7"/>
  <c r="T16" i="2"/>
  <c r="T18" i="2"/>
  <c r="T21" i="2" s="1"/>
  <c r="T27" i="2" s="1"/>
  <c r="V19" i="7" l="1"/>
  <c r="V10" i="2" s="1"/>
  <c r="V12" i="2" s="1"/>
  <c r="V14" i="2" s="1"/>
  <c r="W7" i="7"/>
  <c r="W6" i="7"/>
  <c r="V23" i="7"/>
  <c r="U18" i="2"/>
  <c r="U16" i="2"/>
  <c r="K28" i="2"/>
  <c r="J30" i="2"/>
  <c r="L28" i="2" l="1"/>
  <c r="K30" i="2"/>
  <c r="W19" i="7"/>
  <c r="W10" i="2" s="1"/>
  <c r="W12" i="2" s="1"/>
  <c r="W14" i="2" s="1"/>
  <c r="X7" i="7"/>
  <c r="X6" i="7"/>
  <c r="W23" i="7"/>
  <c r="V16" i="2"/>
  <c r="V18" i="2"/>
  <c r="V21" i="2" s="1"/>
  <c r="V27" i="2" s="1"/>
  <c r="X19" i="7" l="1"/>
  <c r="X10" i="2" s="1"/>
  <c r="X12" i="2" s="1"/>
  <c r="X14" i="2" s="1"/>
  <c r="Y7" i="7"/>
  <c r="Y6" i="7"/>
  <c r="X23" i="7"/>
  <c r="W16" i="2"/>
  <c r="W18" i="2"/>
  <c r="W21" i="2" s="1"/>
  <c r="W27" i="2" s="1"/>
  <c r="M28" i="2"/>
  <c r="L30" i="2"/>
  <c r="N28" i="2" l="1"/>
  <c r="M30" i="2"/>
  <c r="Y19" i="7"/>
  <c r="Y10" i="2" s="1"/>
  <c r="Y12" i="2" s="1"/>
  <c r="Y14" i="2" s="1"/>
  <c r="Z7" i="7"/>
  <c r="Z6" i="7"/>
  <c r="Y23" i="7"/>
  <c r="X18" i="2"/>
  <c r="X16" i="2"/>
  <c r="Z19" i="7" l="1"/>
  <c r="Z10" i="2" s="1"/>
  <c r="Z12" i="2" s="1"/>
  <c r="Z14" i="2" s="1"/>
  <c r="AA6" i="7"/>
  <c r="AA7" i="7"/>
  <c r="Z23" i="7"/>
  <c r="Y16" i="2"/>
  <c r="Y18" i="2"/>
  <c r="Y21" i="2" s="1"/>
  <c r="Y27" i="2" s="1"/>
  <c r="O28" i="2"/>
  <c r="N30" i="2"/>
  <c r="P29" i="2" l="1"/>
  <c r="D11" i="4"/>
  <c r="D12" i="4" s="1"/>
  <c r="D13" i="4" s="1"/>
  <c r="AB7" i="7"/>
  <c r="AA23" i="7"/>
  <c r="AA19" i="7"/>
  <c r="AA10" i="2" s="1"/>
  <c r="AA12" i="2" s="1"/>
  <c r="AA14" i="2" s="1"/>
  <c r="AB6" i="7"/>
  <c r="AB19" i="7" s="1"/>
  <c r="AB10" i="2" s="1"/>
  <c r="AB12" i="2" s="1"/>
  <c r="AB14" i="2" s="1"/>
  <c r="AA15" i="2" s="1"/>
  <c r="Z16" i="2"/>
  <c r="Z18" i="2"/>
  <c r="Z21" i="2" s="1"/>
  <c r="Z27" i="2" s="1"/>
  <c r="AB18" i="2" l="1"/>
  <c r="AB15" i="2"/>
  <c r="AB16" i="2"/>
  <c r="E18" i="4" s="1"/>
  <c r="E19" i="4" s="1"/>
  <c r="AA18" i="2"/>
  <c r="AA16" i="2"/>
  <c r="AC6" i="7"/>
  <c r="AC7" i="7"/>
  <c r="AB23" i="7"/>
  <c r="E21" i="4" s="1"/>
  <c r="Q30" i="2"/>
  <c r="P30" i="2"/>
  <c r="AB29" i="2"/>
  <c r="AD7" i="7" l="1"/>
  <c r="AD6" i="7"/>
  <c r="AD19" i="7" s="1"/>
  <c r="AC23" i="7"/>
  <c r="AC19" i="7"/>
  <c r="E23" i="4"/>
  <c r="R19" i="2"/>
  <c r="R21" i="2" s="1"/>
  <c r="R27" i="2" s="1"/>
  <c r="R28" i="2" s="1"/>
  <c r="U19" i="2"/>
  <c r="U21" i="2" s="1"/>
  <c r="U27" i="2" s="1"/>
  <c r="X19" i="2"/>
  <c r="X21" i="2" s="1"/>
  <c r="X27" i="2" s="1"/>
  <c r="AA19" i="2"/>
  <c r="AA21" i="2" s="1"/>
  <c r="AA27" i="2" s="1"/>
  <c r="AB19" i="2"/>
  <c r="AB21" i="2"/>
  <c r="AB27" i="2" s="1"/>
  <c r="S28" i="2" l="1"/>
  <c r="R30" i="2"/>
  <c r="AE7" i="7"/>
  <c r="AE6" i="7"/>
  <c r="AD23" i="7"/>
  <c r="AE19" i="7" l="1"/>
  <c r="AF7" i="7"/>
  <c r="AF6" i="7"/>
  <c r="AE23" i="7"/>
  <c r="T28" i="2"/>
  <c r="S30" i="2"/>
  <c r="U28" i="2" l="1"/>
  <c r="T30" i="2"/>
  <c r="AF19" i="7"/>
  <c r="AG7" i="7"/>
  <c r="AG6" i="7"/>
  <c r="AF23" i="7"/>
  <c r="AG19" i="7" l="1"/>
  <c r="AH7" i="7"/>
  <c r="AH6" i="7"/>
  <c r="AG23" i="7"/>
  <c r="V28" i="2"/>
  <c r="U30" i="2"/>
  <c r="W28" i="2" l="1"/>
  <c r="V30" i="2"/>
  <c r="AH19" i="7"/>
  <c r="AI7" i="7"/>
  <c r="AI6" i="7"/>
  <c r="AH23" i="7"/>
  <c r="AI19" i="7" l="1"/>
  <c r="AJ7" i="7"/>
  <c r="AJ6" i="7"/>
  <c r="AI23" i="7"/>
  <c r="X28" i="2"/>
  <c r="W30" i="2"/>
  <c r="Y28" i="2" l="1"/>
  <c r="X30" i="2"/>
  <c r="AJ19" i="7"/>
  <c r="AK7" i="7"/>
  <c r="AK6" i="7"/>
  <c r="AJ23" i="7"/>
  <c r="AK19" i="7" l="1"/>
  <c r="AL7" i="7"/>
  <c r="AL6" i="7"/>
  <c r="AK23" i="7"/>
  <c r="Z28" i="2"/>
  <c r="Y30" i="2"/>
  <c r="AA28" i="2" l="1"/>
  <c r="Z30" i="2"/>
  <c r="AL19" i="7"/>
  <c r="AM7" i="7"/>
  <c r="AM6" i="7"/>
  <c r="AL23" i="7"/>
  <c r="AM19" i="7" l="1"/>
  <c r="AN7" i="7"/>
  <c r="AN6" i="7"/>
  <c r="AM23" i="7"/>
  <c r="AB28" i="2"/>
  <c r="AB30" i="2" s="1"/>
  <c r="E11" i="4" s="1"/>
  <c r="E12" i="4" s="1"/>
  <c r="E13" i="4" s="1"/>
  <c r="AA30" i="2"/>
  <c r="AN19" i="7" l="1"/>
  <c r="AO6" i="7"/>
  <c r="AO19" i="7" s="1"/>
  <c r="AO7" i="7"/>
  <c r="AN23" i="7"/>
  <c r="AP6" i="7" l="1"/>
  <c r="AP7" i="7"/>
  <c r="AO23" i="7"/>
  <c r="AQ7" i="7" l="1"/>
  <c r="AQ6" i="7"/>
  <c r="AQ19" i="7" s="1"/>
  <c r="AP23" i="7"/>
  <c r="AP19" i="7"/>
  <c r="AR7" i="7" l="1"/>
  <c r="AR6" i="7"/>
  <c r="AQ23" i="7"/>
  <c r="AR19" i="7" l="1"/>
  <c r="AS7" i="7"/>
  <c r="AS6" i="7"/>
  <c r="AR23" i="7"/>
  <c r="AS19" i="7" l="1"/>
  <c r="AT7" i="7"/>
  <c r="AT6" i="7"/>
  <c r="AS23" i="7"/>
  <c r="AT19" i="7" l="1"/>
  <c r="AU7" i="7"/>
  <c r="AU6" i="7"/>
  <c r="AT23" i="7"/>
  <c r="AU19" i="7" l="1"/>
  <c r="AV7" i="7"/>
  <c r="AV6" i="7"/>
  <c r="AU23" i="7"/>
  <c r="AV19" i="7" l="1"/>
  <c r="AW7" i="7"/>
  <c r="AW6" i="7"/>
  <c r="AV23" i="7"/>
  <c r="AW19" i="7" l="1"/>
  <c r="AX7" i="7"/>
  <c r="AX6" i="7"/>
  <c r="AW23" i="7"/>
  <c r="AX19" i="7" l="1"/>
  <c r="AY7" i="7"/>
  <c r="AY6" i="7"/>
  <c r="AX23" i="7"/>
  <c r="AY19" i="7" l="1"/>
  <c r="AZ7" i="7"/>
  <c r="AZ6" i="7"/>
  <c r="AY23" i="7"/>
  <c r="AZ19" i="7" l="1"/>
  <c r="BA7" i="7"/>
  <c r="BA6" i="7"/>
  <c r="AZ23" i="7"/>
  <c r="BA19" i="7" l="1"/>
  <c r="BB6" i="7"/>
  <c r="BB19" i="7" s="1"/>
  <c r="BB7" i="7"/>
  <c r="BA23" i="7"/>
  <c r="BC6" i="7" l="1"/>
  <c r="BC7" i="7"/>
  <c r="BB23" i="7"/>
  <c r="BD7" i="7" l="1"/>
  <c r="BD6" i="7"/>
  <c r="BD19" i="7" s="1"/>
  <c r="BC23" i="7"/>
  <c r="BC19" i="7"/>
  <c r="BE7" i="7" l="1"/>
  <c r="BE6" i="7"/>
  <c r="BD23" i="7"/>
  <c r="BE19" i="7" l="1"/>
  <c r="BF7" i="7"/>
  <c r="BF6" i="7"/>
  <c r="BE23" i="7"/>
  <c r="BF19" i="7" l="1"/>
  <c r="BG7" i="7"/>
  <c r="BG6" i="7"/>
  <c r="BF23" i="7"/>
  <c r="BG19" i="7" l="1"/>
  <c r="BH7" i="7"/>
  <c r="BH6" i="7"/>
  <c r="BG23" i="7"/>
  <c r="BH19" i="7" l="1"/>
  <c r="BI7" i="7"/>
  <c r="BI6" i="7"/>
  <c r="BH23" i="7"/>
  <c r="BI19" i="7" l="1"/>
  <c r="BJ7" i="7"/>
  <c r="BJ6" i="7"/>
  <c r="BI23" i="7"/>
  <c r="BJ19" i="7" l="1"/>
  <c r="BK7" i="7"/>
  <c r="BK6" i="7"/>
  <c r="BJ23" i="7"/>
  <c r="BK19" i="7" l="1"/>
  <c r="BL7" i="7"/>
  <c r="BL6" i="7"/>
  <c r="BK23" i="7"/>
  <c r="BL19" i="7" l="1"/>
  <c r="BM7" i="7"/>
  <c r="BM6" i="7"/>
  <c r="BL23" i="7"/>
  <c r="BM19" i="7" l="1"/>
  <c r="BN7" i="7"/>
  <c r="BN6" i="7"/>
  <c r="BM23" i="7"/>
  <c r="BN19" i="7" l="1"/>
  <c r="BO6" i="7"/>
  <c r="BO19" i="7" s="1"/>
  <c r="BO7" i="7"/>
  <c r="BN23" i="7"/>
  <c r="BP6" i="7" l="1"/>
  <c r="BP7" i="7"/>
  <c r="BO23" i="7"/>
  <c r="BQ7" i="7" l="1"/>
  <c r="BQ6" i="7"/>
  <c r="BQ19" i="7" s="1"/>
  <c r="BP23" i="7"/>
  <c r="BP19" i="7"/>
  <c r="BR7" i="7" l="1"/>
  <c r="BR6" i="7"/>
  <c r="BQ23" i="7"/>
  <c r="BR19" i="7" l="1"/>
  <c r="BS7" i="7"/>
  <c r="BS6" i="7"/>
  <c r="BR23" i="7"/>
  <c r="BS19" i="7" l="1"/>
  <c r="BT7" i="7"/>
  <c r="BT6" i="7"/>
  <c r="BS23" i="7"/>
  <c r="BT19" i="7" l="1"/>
  <c r="BU7" i="7"/>
  <c r="BU6" i="7"/>
  <c r="BT23" i="7"/>
  <c r="BU19" i="7" l="1"/>
  <c r="BV7" i="7"/>
  <c r="BV6" i="7"/>
  <c r="BU23" i="7"/>
  <c r="BV19" i="7" l="1"/>
  <c r="BW7" i="7"/>
  <c r="BW6" i="7"/>
  <c r="BV23" i="7"/>
  <c r="BW19" i="7" l="1"/>
  <c r="BX7" i="7"/>
  <c r="BX6" i="7"/>
  <c r="BW23" i="7"/>
  <c r="BX19" i="7" l="1"/>
  <c r="BY7" i="7"/>
  <c r="BY6" i="7"/>
  <c r="BX23" i="7"/>
  <c r="BY19" i="7" l="1"/>
  <c r="BZ7" i="7"/>
  <c r="BZ6" i="7"/>
  <c r="BY23" i="7"/>
  <c r="BZ19" i="7" l="1"/>
  <c r="CA7" i="7"/>
  <c r="CA6" i="7"/>
  <c r="BZ23" i="7"/>
  <c r="CA19" i="7" l="1"/>
  <c r="CB6" i="7"/>
  <c r="CB19" i="7" s="1"/>
  <c r="CB7" i="7"/>
  <c r="CB23" i="7" s="1"/>
  <c r="CA2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<sst xmlns="http://schemas.openxmlformats.org/spreadsheetml/2006/main" count="421" uniqueCount="204">
  <si>
    <t>ANNAHMEN:</t>
  </si>
  <si>
    <t>Statisches Eingabefeld</t>
  </si>
  <si>
    <t>Finanz- und Liquiditätsplanung</t>
  </si>
  <si>
    <t>Variables Eingabefeld</t>
  </si>
  <si>
    <t>Verknüpfung mit grünes Feld</t>
  </si>
  <si>
    <t>Startjahr</t>
  </si>
  <si>
    <t>Ausgangsposition</t>
  </si>
  <si>
    <t>Veränderungen</t>
  </si>
  <si>
    <t>Folgejahr</t>
  </si>
  <si>
    <t>Variable:</t>
  </si>
  <si>
    <t>Investitionskredit</t>
  </si>
  <si>
    <t>Ratenkredit</t>
  </si>
  <si>
    <t>die unten</t>
  </si>
  <si>
    <t>Betriebsmittelkredit</t>
  </si>
  <si>
    <t>orange</t>
  </si>
  <si>
    <t>mtl. Gehaltserhöhung ab Folgejahr für Informatiker:innen</t>
  </si>
  <si>
    <t>hinterlegten</t>
  </si>
  <si>
    <t>Kapazitätsauslastung</t>
  </si>
  <si>
    <t>Felder</t>
  </si>
  <si>
    <t>Netto-Stundensatz beim Kunden</t>
  </si>
  <si>
    <t>nehmen</t>
  </si>
  <si>
    <t>Anzahl Krankheitstage pro Informatiker:in</t>
  </si>
  <si>
    <t>hier auf Bezug</t>
  </si>
  <si>
    <t>Weitere Investitionen</t>
  </si>
  <si>
    <t>Server im Folgejahr</t>
  </si>
  <si>
    <t>Kredit</t>
  </si>
  <si>
    <t>aktuell</t>
  </si>
  <si>
    <t>Zinsatz p.a.</t>
  </si>
  <si>
    <t>Laufzeit</t>
  </si>
  <si>
    <t>Rate monatlich</t>
  </si>
  <si>
    <t>zur Vereinfachung werden hier nur Bankkredite und keine Anultitätsdahrlen verwendet</t>
  </si>
  <si>
    <t>Steuersatz für KöSt./GewSt.</t>
  </si>
  <si>
    <t>Veränderung</t>
  </si>
  <si>
    <t>verechenbare</t>
  </si>
  <si>
    <t>Wer erbringt die mit dem Kunden verechenbare Leistung? ==&gt; gesucht sind die jährlich verechenbaren Stunden pro Vollzeit Informatiker:in</t>
  </si>
  <si>
    <t>Krankheitstage</t>
  </si>
  <si>
    <t>Stunden</t>
  </si>
  <si>
    <t>Ausgangspunkt</t>
  </si>
  <si>
    <t>Wochen</t>
  </si>
  <si>
    <t>Tage</t>
  </si>
  <si>
    <t>Feiertage</t>
  </si>
  <si>
    <t>Urlaub</t>
  </si>
  <si>
    <t>Krankheit etc.</t>
  </si>
  <si>
    <t>verfügbare Stunden / Informatiker</t>
  </si>
  <si>
    <t>nicht verreschenbare Stunden (E-Mails, Sitzungen, Telefonate, Recherche, Fehlerbehebung, etc.)</t>
  </si>
  <si>
    <t>Verreschenbare Stunden</t>
  </si>
  <si>
    <t>Kapazität</t>
  </si>
  <si>
    <t>Stunden p.a.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</si>
  <si>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</si>
  <si>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</si>
  <si>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</si>
  <si>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</si>
  <si>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</si>
  <si>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</si>
  <si>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</si>
  <si>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</si>
  <si>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</si>
  <si>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</si>
  <si>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</si>
  <si>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</si>
  <si>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Umsatz</t>
  </si>
  <si>
    <t>Stundensatz</t>
  </si>
  <si>
    <t>verrechnbare Stunden</t>
  </si>
  <si>
    <t>Auslastung</t>
  </si>
  <si>
    <t>geplante Auslastung</t>
  </si>
  <si>
    <t>Anzahl Informatiker:in</t>
  </si>
  <si>
    <t>Jahresumsatz</t>
  </si>
  <si>
    <t>Beginn</t>
  </si>
  <si>
    <t>SV</t>
  </si>
  <si>
    <t>Personalaufwand</t>
  </si>
  <si>
    <t>Geschäftsführung</t>
  </si>
  <si>
    <t>Monate</t>
  </si>
  <si>
    <t>Buchhaltung</t>
  </si>
  <si>
    <t>Assistenz</t>
  </si>
  <si>
    <t>Technik</t>
  </si>
  <si>
    <t>Informatiker</t>
  </si>
  <si>
    <t>Gehaltserhöhung</t>
  </si>
  <si>
    <t>Summe Personalaufwand</t>
  </si>
  <si>
    <t>mrz</t>
  </si>
  <si>
    <t>mai</t>
  </si>
  <si>
    <t>okt</t>
  </si>
  <si>
    <t>dez</t>
  </si>
  <si>
    <t>Betrieblicher Aufwand</t>
  </si>
  <si>
    <t>Miete incl. Nebenkosten</t>
  </si>
  <si>
    <t>so. Aufwand</t>
  </si>
  <si>
    <t>Investitionen</t>
  </si>
  <si>
    <t>Auszahlungen</t>
  </si>
  <si>
    <t>PC/Drucker</t>
  </si>
  <si>
    <t>Nutzungsdauer</t>
  </si>
  <si>
    <t>Abschreibungen</t>
  </si>
  <si>
    <t>Auszahlung</t>
  </si>
  <si>
    <t>Büroausstattung</t>
  </si>
  <si>
    <t>Anschreibungen</t>
  </si>
  <si>
    <t>Server</t>
  </si>
  <si>
    <t>Abschreibung</t>
  </si>
  <si>
    <t>Summe Auszahlungen</t>
  </si>
  <si>
    <t>Summe Abschreibungen</t>
  </si>
  <si>
    <t>Bilanz</t>
  </si>
  <si>
    <t>Anlagenvermögen</t>
  </si>
  <si>
    <t>Umlaufvermögen</t>
  </si>
  <si>
    <t>Forderungen</t>
  </si>
  <si>
    <t>Kasse</t>
  </si>
  <si>
    <t>Bilanzsumme</t>
  </si>
  <si>
    <t>Eigenkapital</t>
  </si>
  <si>
    <t>Stammkapital</t>
  </si>
  <si>
    <t>Gewinnvortrag</t>
  </si>
  <si>
    <t>Jahresabschluss</t>
  </si>
  <si>
    <t>k. Ausschüttung</t>
  </si>
  <si>
    <t>Fremdkapital</t>
  </si>
  <si>
    <t>Verbindlichkeiten L&amp;L</t>
  </si>
  <si>
    <t>Gesamt</t>
  </si>
  <si>
    <t>(in Euro)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</si>
  <si>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</si>
  <si>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</si>
  <si>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</si>
  <si>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</si>
  <si>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</si>
  <si>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</si>
  <si>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</si>
  <si>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</si>
  <si>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</si>
  <si>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</si>
  <si>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</si>
  <si>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</si>
  <si>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Gewinn- und Verlustrechnung</t>
  </si>
  <si>
    <t>Umsatzerlöse netto</t>
  </si>
  <si>
    <t>Betriebliche Aufwendungen</t>
  </si>
  <si>
    <t>Personal</t>
  </si>
  <si>
    <t>Miete</t>
  </si>
  <si>
    <t>Gesamt - Fixkosten</t>
  </si>
  <si>
    <t>Finanzierungskosten (Zinsen etc.)</t>
  </si>
  <si>
    <t>Betriebliche Aufwendungen netto</t>
  </si>
  <si>
    <t>Jahresüberschuss/Jahresfehlbetrag vor Steuern</t>
  </si>
  <si>
    <t>GewSt. + KöSt. + Soli laufendes Jahr</t>
  </si>
  <si>
    <t>Jahresüberschuss/Jahresfehlbetrag nach Steuern</t>
  </si>
  <si>
    <t>Liqitätsrechnung</t>
  </si>
  <si>
    <t>Jahresabschluss/Jahresfehlbetrag vor Steuern</t>
  </si>
  <si>
    <t>Steuervoraus-/nachzahlung Köst/GewSt/Soli</t>
  </si>
  <si>
    <t>Cashflow aus der laufenden Geschäftstätigkeit</t>
  </si>
  <si>
    <t>Investitionen incl. Kaution</t>
  </si>
  <si>
    <t>Cashflow aus Investitionstätigkeiten</t>
  </si>
  <si>
    <t>Kreditaufnahme</t>
  </si>
  <si>
    <t>Kredittilgung</t>
  </si>
  <si>
    <t>Cashflow aus Finanzierungstätigkeiten</t>
  </si>
  <si>
    <t>Monatliche Kassenveränderungen</t>
  </si>
  <si>
    <t>Über-/ Unterdeckung komuliert ohne Vorjahr</t>
  </si>
  <si>
    <t>Kasenbestand Vorjahr</t>
  </si>
  <si>
    <t>Liqität mit Kasse Vorjahr</t>
  </si>
  <si>
    <t>Ausgangslage</t>
  </si>
  <si>
    <t>Anlagevermögen</t>
  </si>
  <si>
    <t>PCs, Drucker, Laptops</t>
  </si>
  <si>
    <t>Forderungen aus Lieferung &amp; Leistung</t>
  </si>
  <si>
    <t>Kassenbestand</t>
  </si>
  <si>
    <t>Jahresüberschuss</t>
  </si>
  <si>
    <t>Langfristige Verbindlichkeiten</t>
  </si>
  <si>
    <t>Kurzfristige Verbindlichkeiten</t>
  </si>
  <si>
    <t>Mrz</t>
  </si>
  <si>
    <t>Mai</t>
  </si>
  <si>
    <t>Okt</t>
  </si>
  <si>
    <t>Dez</t>
  </si>
  <si>
    <t>Umsatzverteilung</t>
  </si>
  <si>
    <t>Umsatzerlös Gesamt</t>
  </si>
  <si>
    <t>GESAMT</t>
  </si>
  <si>
    <t>Bruttogehalt beginn</t>
  </si>
  <si>
    <t>Bestand</t>
  </si>
  <si>
    <t>Geschäftsfürhrung</t>
  </si>
  <si>
    <t>Techniker</t>
  </si>
  <si>
    <t>Gesamt - Bestand</t>
  </si>
  <si>
    <t>Neu</t>
  </si>
  <si>
    <t>Gesamt - Neu</t>
  </si>
  <si>
    <t>Zusammenfassung</t>
  </si>
  <si>
    <t>Gesamt(ohne Sozialversicherung)</t>
  </si>
  <si>
    <t>Sozialversicherung</t>
  </si>
  <si>
    <t>Gesamt Personal</t>
  </si>
  <si>
    <t>Nettobeträge (in Euro)</t>
  </si>
  <si>
    <t>Verteilung so. Aufwand</t>
  </si>
  <si>
    <t>Planung</t>
  </si>
  <si>
    <t>Ausgaben</t>
  </si>
  <si>
    <t>Anuitätendahrlen 1</t>
  </si>
  <si>
    <t>Tilgung</t>
  </si>
  <si>
    <t>Zins</t>
  </si>
  <si>
    <t>Restbetrag</t>
  </si>
  <si>
    <t>Anuitätendahrlen Folgejahr</t>
  </si>
  <si>
    <t>Finanzierungskosten</t>
  </si>
  <si>
    <t>Gesamt - Tilgung</t>
  </si>
  <si>
    <t>Gesamt - Restbetrag Kredit</t>
  </si>
  <si>
    <t>Anschaffung</t>
  </si>
  <si>
    <t>Kaufzeit-</t>
  </si>
  <si>
    <t>Nutzungdauer</t>
  </si>
  <si>
    <t>kosten netto</t>
  </si>
  <si>
    <t>punkt</t>
  </si>
  <si>
    <t>(in Jahren)</t>
  </si>
  <si>
    <t>Büroeinrichtung</t>
  </si>
  <si>
    <t>-</t>
  </si>
  <si>
    <t>Arbeitsplatzeinrichtung</t>
  </si>
  <si>
    <t>Gesamtabschreibung - Büroeinrichtung</t>
  </si>
  <si>
    <t>Gesamtinvestitionen - Büroeinrichtung</t>
  </si>
  <si>
    <t>EDV</t>
  </si>
  <si>
    <t>PCs. Laptops etc.</t>
  </si>
  <si>
    <t>Server etc.</t>
  </si>
  <si>
    <t>Gesamtabschreibung - EDV</t>
  </si>
  <si>
    <t>Gesamtinvestitionen - EDV</t>
  </si>
  <si>
    <t>Gesamt Abschreibung</t>
  </si>
  <si>
    <t>Gesamt Investition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</si>
</sst>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  <numFmt numFmtId="165" formatCode="_-* #,##0\ [$€-407]_-;\-* #,##0\ [$€-407]_-;_-* &quot;-&quot;??\ [$€-407]_-;_-@_-"/>
    <numFmt numFmtId="166" formatCode="0.0000"/>
    <numFmt numFmtId="167" formatCode="0.000"/>
    <numFmt numFmtId="168" formatCode="0.0%"/>
    <numFmt numFmtId="169" formatCode="0.0000%"/>
    <numFmt numFmtId="170" formatCode="_-* #,##0\ [$€-407]_-;\-* #,##0\ [$€-407]_-;_-* &quot;-&quot;????\ [$€-407]_-;_-@_-"/>
    <numFmt numFmtId="171" formatCode="#,##0\ &quot;€&quot;"/>
    <numFmt numFmtId="172" formatCode="[$-F800]dddd\,\ mmmm\ dd\,\ yyyy"/>
    <numFmt numFmtId="173" formatCode="_-* #,##0_-;\-* #,##0_-;_-* &quot;-&quot;??_-;_-@_-"/>
    <numFmt numFmtId="174" formatCode="#,##0.0;[Red]\-#,##0.0"/>
    <numFmt numFmtId="175" formatCode="_-* #,##0\ &quot;€&quot;_-;\-* #,##0\ &quot;€&quot;_-;_-* &quot;-&quot;??\ &quot;€&quot;_-;_-@_-"/>
    <numFmt numFmtId="176" formatCode="0.000%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2" tint="-9.9978637043366805E-2"/>
      </left>
      <right/>
      <top/>
      <bottom style="thin">
        <color rgb="FF000000"/>
      </bottom>
      <diagonal/>
    </border>
    <border>
      <left/>
      <right style="thin">
        <color theme="2" tint="-9.9978637043366805E-2"/>
      </right>
      <top/>
      <bottom style="thin">
        <color rgb="FF000000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/>
      <right style="thick">
        <color theme="2" tint="-0.249977111117893"/>
      </right>
      <top/>
      <bottom/>
      <diagonal/>
    </border>
    <border>
      <left/>
      <right style="thick">
        <color theme="2" tint="-0.249977111117893"/>
      </right>
      <top/>
      <bottom style="thin">
        <color rgb="FF000000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ck">
        <color theme="2" tint="-0.249977111117893"/>
      </bottom>
      <diagonal/>
    </border>
    <border>
      <left/>
      <right/>
      <top style="thin">
        <color theme="2" tint="-9.9978637043366805E-2"/>
      </top>
      <bottom style="thick">
        <color theme="2" tint="-0.249977111117893"/>
      </bottom>
      <diagonal/>
    </border>
    <border>
      <left/>
      <right style="thick">
        <color theme="2" tint="-0.249977111117893"/>
      </right>
      <top style="thin">
        <color theme="2" tint="-9.9978637043366805E-2"/>
      </top>
      <bottom style="thick">
        <color theme="2" tint="-0.249977111117893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ck">
        <color theme="2" tint="-0.249977111117893"/>
      </bottom>
      <diagonal/>
    </border>
    <border>
      <left/>
      <right/>
      <top/>
      <bottom style="thick">
        <color theme="2" tint="-0.249977111117893"/>
      </bottom>
      <diagonal/>
    </border>
    <border>
      <left style="thin">
        <color theme="2" tint="-9.9978637043366805E-2"/>
      </left>
      <right/>
      <top/>
      <bottom style="thick">
        <color theme="2" tint="-0.249977111117893"/>
      </bottom>
      <diagonal/>
    </border>
    <border>
      <left/>
      <right style="thin">
        <color theme="2" tint="-9.9978637043366805E-2"/>
      </right>
      <top/>
      <bottom style="thick">
        <color theme="2" tint="-0.249977111117893"/>
      </bottom>
      <diagonal/>
    </border>
    <border>
      <left/>
      <right style="thick">
        <color theme="2" tint="-0.249977111117893"/>
      </right>
      <top/>
      <bottom style="thick">
        <color theme="2" tint="-0.249977111117893"/>
      </bottom>
      <diagonal/>
    </border>
    <border>
      <left/>
      <right/>
      <top/>
      <bottom style="double">
        <color theme="2" tint="-0.249977111117893"/>
      </bottom>
      <diagonal/>
    </border>
    <border>
      <left/>
      <right/>
      <top style="double">
        <color theme="2" tint="-0.249977111117893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theme="2" tint="-0.249977111117893"/>
      </right>
      <top/>
      <bottom style="double">
        <color theme="2" tint="-0.249977111117893"/>
      </bottom>
      <diagonal/>
    </border>
    <border>
      <left/>
      <right style="thick">
        <color theme="2" tint="-0.249977111117893"/>
      </right>
      <top style="double">
        <color theme="2" tint="-0.249977111117893"/>
      </top>
      <bottom style="thin">
        <color theme="1"/>
      </bottom>
      <diagonal/>
    </border>
    <border>
      <left/>
      <right style="thick">
        <color theme="2" tint="-0.249977111117893"/>
      </right>
      <top/>
      <bottom style="thin">
        <color theme="1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19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5" borderId="0" xfId="0" applyFont="1" applyFill="1"/>
    <xf numFmtId="165" fontId="0" fillId="0" borderId="0" xfId="0" applyNumberFormat="1"/>
    <xf numFmtId="9" fontId="0" fillId="0" borderId="0" xfId="0" applyNumberFormat="1"/>
    <xf numFmtId="165" fontId="0" fillId="3" borderId="0" xfId="0" applyNumberFormat="1" applyFill="1"/>
    <xf numFmtId="0" fontId="0" fillId="5" borderId="0" xfId="0" applyFill="1"/>
    <xf numFmtId="0" fontId="0" fillId="3" borderId="0" xfId="0" applyNumberFormat="1" applyFill="1"/>
    <xf numFmtId="9" fontId="0" fillId="3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9" fontId="0" fillId="2" borderId="0" xfId="0" applyNumberFormat="1" applyFill="1"/>
    <xf numFmtId="0" fontId="2" fillId="5" borderId="0" xfId="0" applyFont="1" applyFill="1"/>
    <xf numFmtId="0" fontId="0" fillId="0" borderId="0" xfId="0" applyAlignment="1">
      <alignment wrapText="1"/>
    </xf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0" fontId="0" fillId="6" borderId="0" xfId="0" applyFill="1"/>
    <xf numFmtId="0" fontId="0" fillId="7" borderId="0" xfId="0" applyFill="1"/>
    <xf numFmtId="9" fontId="0" fillId="6" borderId="0" xfId="0" applyNumberFormat="1" applyFill="1"/>
    <xf numFmtId="0" fontId="0" fillId="0" borderId="0" xfId="0" applyFill="1"/>
    <xf numFmtId="9" fontId="0" fillId="4" borderId="0" xfId="0" applyNumberFormat="1" applyFill="1"/>
    <xf numFmtId="169" fontId="0" fillId="6" borderId="0" xfId="0" applyNumberFormat="1" applyFill="1"/>
    <xf numFmtId="14" fontId="0" fillId="0" borderId="0" xfId="0" applyNumberFormat="1"/>
    <xf numFmtId="2" fontId="0" fillId="0" borderId="0" xfId="0" applyNumberFormat="1" applyFill="1"/>
    <xf numFmtId="1" fontId="0" fillId="0" borderId="0" xfId="0" applyNumberFormat="1"/>
    <xf numFmtId="166" fontId="1" fillId="0" borderId="0" xfId="0" applyNumberFormat="1" applyFont="1"/>
    <xf numFmtId="164" fontId="0" fillId="6" borderId="0" xfId="0" applyNumberFormat="1" applyFill="1"/>
    <xf numFmtId="165" fontId="0" fillId="6" borderId="0" xfId="0" applyNumberFormat="1" applyFill="1"/>
    <xf numFmtId="170" fontId="0" fillId="0" borderId="0" xfId="0" applyNumberFormat="1"/>
    <xf numFmtId="165" fontId="1" fillId="6" borderId="0" xfId="0" applyNumberFormat="1" applyFont="1" applyFill="1"/>
    <xf numFmtId="14" fontId="0" fillId="6" borderId="0" xfId="0" applyNumberFormat="1" applyFill="1"/>
    <xf numFmtId="0" fontId="2" fillId="7" borderId="1" xfId="0" applyFont="1" applyFill="1" applyBorder="1"/>
    <xf numFmtId="0" fontId="0" fillId="7" borderId="1" xfId="0" applyFill="1" applyBorder="1"/>
    <xf numFmtId="0" fontId="1" fillId="0" borderId="0" xfId="0" applyFont="1" applyBorder="1"/>
    <xf numFmtId="0" fontId="0" fillId="0" borderId="0" xfId="0" applyBorder="1"/>
    <xf numFmtId="0" fontId="0" fillId="0" borderId="2" xfId="0" applyBorder="1"/>
    <xf numFmtId="0" fontId="1" fillId="0" borderId="4" xfId="0" applyFont="1" applyBorder="1" applyAlignment="1">
      <alignment vertical="center"/>
    </xf>
    <xf numFmtId="0" fontId="0" fillId="0" borderId="5" xfId="0" applyBorder="1"/>
    <xf numFmtId="0" fontId="1" fillId="0" borderId="6" xfId="0" applyFont="1" applyBorder="1"/>
    <xf numFmtId="0" fontId="1" fillId="8" borderId="0" xfId="0" applyFont="1" applyFill="1"/>
    <xf numFmtId="0" fontId="1" fillId="0" borderId="7" xfId="0" applyFont="1" applyBorder="1"/>
    <xf numFmtId="0" fontId="0" fillId="0" borderId="7" xfId="0" applyBorder="1"/>
    <xf numFmtId="0" fontId="0" fillId="8" borderId="0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7" fontId="0" fillId="8" borderId="13" xfId="0" applyNumberFormat="1" applyFill="1" applyBorder="1"/>
    <xf numFmtId="0" fontId="0" fillId="0" borderId="14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1" fillId="0" borderId="20" xfId="0" applyNumberFormat="1" applyFont="1" applyBorder="1"/>
    <xf numFmtId="171" fontId="1" fillId="0" borderId="20" xfId="0" applyNumberFormat="1" applyFont="1" applyBorder="1"/>
    <xf numFmtId="168" fontId="0" fillId="0" borderId="0" xfId="0" applyNumberFormat="1"/>
    <xf numFmtId="0" fontId="1" fillId="7" borderId="0" xfId="0" applyFont="1" applyFill="1"/>
    <xf numFmtId="0" fontId="0" fillId="0" borderId="21" xfId="0" applyBorder="1"/>
    <xf numFmtId="0" fontId="1" fillId="0" borderId="17" xfId="0" applyFont="1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169" fontId="0" fillId="0" borderId="16" xfId="0" applyNumberFormat="1" applyBorder="1"/>
    <xf numFmtId="0" fontId="1" fillId="0" borderId="26" xfId="0" applyFont="1" applyBorder="1"/>
    <xf numFmtId="0" fontId="0" fillId="9" borderId="25" xfId="0" applyFill="1" applyBorder="1"/>
    <xf numFmtId="0" fontId="0" fillId="8" borderId="21" xfId="0" applyFill="1" applyBorder="1"/>
    <xf numFmtId="0" fontId="0" fillId="8" borderId="24" xfId="0" applyFill="1" applyBorder="1"/>
    <xf numFmtId="0" fontId="0" fillId="8" borderId="23" xfId="0" applyFill="1" applyBorder="1"/>
    <xf numFmtId="168" fontId="0" fillId="0" borderId="21" xfId="0" applyNumberFormat="1" applyBorder="1"/>
    <xf numFmtId="168" fontId="0" fillId="0" borderId="0" xfId="0" applyNumberFormat="1" applyBorder="1"/>
    <xf numFmtId="172" fontId="0" fillId="0" borderId="8" xfId="0" applyNumberFormat="1" applyBorder="1"/>
    <xf numFmtId="172" fontId="0" fillId="0" borderId="7" xfId="0" applyNumberFormat="1" applyBorder="1"/>
    <xf numFmtId="172" fontId="0" fillId="0" borderId="16" xfId="0" applyNumberFormat="1" applyBorder="1"/>
    <xf numFmtId="172" fontId="0" fillId="0" borderId="26" xfId="0" applyNumberFormat="1" applyBorder="1"/>
    <xf numFmtId="172" fontId="0" fillId="0" borderId="28" xfId="0" applyNumberFormat="1" applyBorder="1"/>
    <xf numFmtId="172" fontId="1" fillId="0" borderId="26" xfId="0" applyNumberFormat="1" applyFont="1" applyBorder="1"/>
    <xf numFmtId="0" fontId="0" fillId="10" borderId="0" xfId="0" applyFill="1"/>
    <xf numFmtId="173" fontId="0" fillId="0" borderId="21" xfId="0" applyNumberFormat="1" applyBorder="1"/>
    <xf numFmtId="173" fontId="0" fillId="0" borderId="0" xfId="0" applyNumberFormat="1" applyBorder="1"/>
    <xf numFmtId="10" fontId="0" fillId="0" borderId="0" xfId="0" applyNumberFormat="1" applyBorder="1"/>
    <xf numFmtId="0" fontId="1" fillId="0" borderId="22" xfId="0" applyFont="1" applyBorder="1"/>
    <xf numFmtId="165" fontId="0" fillId="0" borderId="2" xfId="0" applyNumberFormat="1" applyBorder="1"/>
    <xf numFmtId="0" fontId="0" fillId="0" borderId="29" xfId="0" applyBorder="1"/>
    <xf numFmtId="0" fontId="0" fillId="0" borderId="20" xfId="0" applyBorder="1"/>
    <xf numFmtId="0" fontId="0" fillId="0" borderId="20" xfId="0" applyBorder="1" applyAlignment="1">
      <alignment wrapText="1"/>
    </xf>
    <xf numFmtId="165" fontId="0" fillId="0" borderId="20" xfId="0" applyNumberFormat="1" applyBorder="1"/>
    <xf numFmtId="0" fontId="0" fillId="8" borderId="30" xfId="0" applyFill="1" applyBorder="1"/>
    <xf numFmtId="0" fontId="0" fillId="8" borderId="31" xfId="0" applyFill="1" applyBorder="1"/>
    <xf numFmtId="0" fontId="0" fillId="0" borderId="31" xfId="0" applyBorder="1"/>
    <xf numFmtId="165" fontId="0" fillId="0" borderId="32" xfId="0" applyNumberFormat="1" applyBorder="1"/>
    <xf numFmtId="165" fontId="0" fillId="0" borderId="31" xfId="0" applyNumberFormat="1" applyBorder="1"/>
    <xf numFmtId="165" fontId="0" fillId="0" borderId="33" xfId="0" applyNumberFormat="1" applyBorder="1"/>
    <xf numFmtId="38" fontId="0" fillId="0" borderId="25" xfId="0" applyNumberFormat="1" applyBorder="1"/>
    <xf numFmtId="174" fontId="0" fillId="0" borderId="25" xfId="0" applyNumberFormat="1" applyBorder="1"/>
    <xf numFmtId="171" fontId="0" fillId="0" borderId="0" xfId="0" applyNumberFormat="1"/>
    <xf numFmtId="10" fontId="0" fillId="0" borderId="0" xfId="0" applyNumberFormat="1"/>
    <xf numFmtId="38" fontId="0" fillId="0" borderId="0" xfId="0" applyNumberFormat="1"/>
    <xf numFmtId="14" fontId="0" fillId="0" borderId="7" xfId="0" applyNumberFormat="1" applyBorder="1"/>
    <xf numFmtId="38" fontId="0" fillId="0" borderId="13" xfId="0" applyNumberFormat="1" applyBorder="1"/>
    <xf numFmtId="38" fontId="0" fillId="0" borderId="17" xfId="0" applyNumberFormat="1" applyBorder="1"/>
    <xf numFmtId="38" fontId="0" fillId="0" borderId="19" xfId="0" applyNumberFormat="1" applyBorder="1"/>
    <xf numFmtId="38" fontId="1" fillId="0" borderId="17" xfId="0" applyNumberFormat="1" applyFont="1" applyBorder="1"/>
    <xf numFmtId="38" fontId="0" fillId="0" borderId="6" xfId="0" applyNumberFormat="1" applyBorder="1"/>
    <xf numFmtId="38" fontId="0" fillId="0" borderId="15" xfId="0" applyNumberFormat="1" applyBorder="1"/>
    <xf numFmtId="0" fontId="1" fillId="0" borderId="2" xfId="0" applyFont="1" applyBorder="1"/>
    <xf numFmtId="0" fontId="1" fillId="9" borderId="0" xfId="0" applyFont="1" applyFill="1" applyAlignment="1">
      <alignment vertical="top"/>
    </xf>
    <xf numFmtId="0" fontId="1" fillId="9" borderId="2" xfId="0" applyFont="1" applyFill="1" applyBorder="1"/>
    <xf numFmtId="0" fontId="0" fillId="11" borderId="0" xfId="0" applyFill="1"/>
    <xf numFmtId="17" fontId="0" fillId="11" borderId="2" xfId="0" applyNumberFormat="1" applyFill="1" applyBorder="1"/>
    <xf numFmtId="0" fontId="1" fillId="0" borderId="23" xfId="0" applyFont="1" applyBorder="1"/>
    <xf numFmtId="38" fontId="0" fillId="0" borderId="0" xfId="0" applyNumberFormat="1" applyAlignment="1">
      <alignment vertical="center"/>
    </xf>
    <xf numFmtId="0" fontId="1" fillId="9" borderId="0" xfId="0" applyFont="1" applyFill="1" applyBorder="1" applyAlignment="1">
      <alignment vertical="top"/>
    </xf>
    <xf numFmtId="0" fontId="0" fillId="0" borderId="37" xfId="0" applyBorder="1"/>
    <xf numFmtId="0" fontId="0" fillId="0" borderId="37" xfId="0" applyBorder="1" applyAlignment="1">
      <alignment vertical="top"/>
    </xf>
    <xf numFmtId="0" fontId="0" fillId="0" borderId="38" xfId="0" applyBorder="1"/>
    <xf numFmtId="38" fontId="0" fillId="0" borderId="37" xfId="0" applyNumberFormat="1" applyBorder="1" applyAlignment="1">
      <alignment vertical="center"/>
    </xf>
    <xf numFmtId="38" fontId="3" fillId="0" borderId="0" xfId="0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0" fillId="0" borderId="40" xfId="0" applyBorder="1"/>
    <xf numFmtId="0" fontId="4" fillId="7" borderId="0" xfId="0" applyFont="1" applyFill="1"/>
    <xf numFmtId="0" fontId="0" fillId="0" borderId="40" xfId="0" applyBorder="1" applyAlignment="1">
      <alignment horizontal="left"/>
    </xf>
    <xf numFmtId="0" fontId="0" fillId="0" borderId="40" xfId="0" applyBorder="1" applyAlignment="1"/>
    <xf numFmtId="0" fontId="0" fillId="0" borderId="41" xfId="0" applyBorder="1" applyAlignment="1">
      <alignment horizontal="left"/>
    </xf>
    <xf numFmtId="0" fontId="4" fillId="7" borderId="0" xfId="0" applyFont="1" applyFill="1" applyBorder="1"/>
    <xf numFmtId="0" fontId="0" fillId="7" borderId="0" xfId="0" applyFill="1" applyBorder="1"/>
    <xf numFmtId="0" fontId="1" fillId="0" borderId="20" xfId="0" applyFont="1" applyBorder="1"/>
    <xf numFmtId="0" fontId="1" fillId="0" borderId="20" xfId="0" applyFont="1" applyBorder="1" applyAlignment="1"/>
    <xf numFmtId="0" fontId="1" fillId="5" borderId="2" xfId="0" applyFont="1" applyFill="1" applyBorder="1"/>
    <xf numFmtId="0" fontId="0" fillId="5" borderId="2" xfId="0" applyFill="1" applyBorder="1"/>
    <xf numFmtId="0" fontId="0" fillId="7" borderId="34" xfId="0" applyFill="1" applyBorder="1"/>
    <xf numFmtId="0" fontId="0" fillId="8" borderId="0" xfId="0" applyFill="1"/>
    <xf numFmtId="0" fontId="0" fillId="9" borderId="44" xfId="0" applyFill="1" applyBorder="1"/>
    <xf numFmtId="0" fontId="0" fillId="0" borderId="46" xfId="0" applyBorder="1"/>
    <xf numFmtId="0" fontId="1" fillId="5" borderId="20" xfId="0" applyFont="1" applyFill="1" applyBorder="1"/>
    <xf numFmtId="0" fontId="0" fillId="5" borderId="20" xfId="0" applyFill="1" applyBorder="1"/>
    <xf numFmtId="0" fontId="1" fillId="0" borderId="40" xfId="0" applyFont="1" applyBorder="1"/>
    <xf numFmtId="0" fontId="1" fillId="8" borderId="34" xfId="0" applyFont="1" applyFill="1" applyBorder="1"/>
    <xf numFmtId="0" fontId="1" fillId="7" borderId="34" xfId="0" applyFont="1" applyFill="1" applyBorder="1"/>
    <xf numFmtId="0" fontId="1" fillId="7" borderId="43" xfId="0" applyFont="1" applyFill="1" applyBorder="1"/>
    <xf numFmtId="44" fontId="0" fillId="0" borderId="0" xfId="0" applyNumberFormat="1"/>
    <xf numFmtId="38" fontId="1" fillId="0" borderId="0" xfId="0" applyNumberFormat="1" applyFont="1"/>
    <xf numFmtId="44" fontId="0" fillId="0" borderId="40" xfId="0" applyNumberFormat="1" applyBorder="1" applyAlignment="1">
      <alignment horizontal="center" vertical="center"/>
    </xf>
    <xf numFmtId="44" fontId="0" fillId="0" borderId="40" xfId="0" applyNumberFormat="1" applyBorder="1"/>
    <xf numFmtId="175" fontId="0" fillId="0" borderId="40" xfId="0" applyNumberFormat="1" applyBorder="1"/>
    <xf numFmtId="175" fontId="0" fillId="0" borderId="40" xfId="0" applyNumberFormat="1" applyBorder="1" applyAlignment="1">
      <alignment horizontal="center" vertical="center"/>
    </xf>
    <xf numFmtId="175" fontId="0" fillId="0" borderId="0" xfId="0" applyNumberFormat="1"/>
    <xf numFmtId="0" fontId="3" fillId="0" borderId="0" xfId="0" applyFont="1" applyBorder="1"/>
    <xf numFmtId="14" fontId="3" fillId="0" borderId="0" xfId="0" applyNumberFormat="1" applyFont="1"/>
    <xf numFmtId="175" fontId="3" fillId="0" borderId="0" xfId="0" applyNumberFormat="1" applyFont="1"/>
    <xf numFmtId="0" fontId="1" fillId="0" borderId="38" xfId="0" applyFont="1" applyBorder="1"/>
    <xf numFmtId="0" fontId="1" fillId="0" borderId="40" xfId="0" applyFont="1" applyBorder="1" applyAlignment="1"/>
    <xf numFmtId="0" fontId="1" fillId="0" borderId="41" xfId="0" applyFont="1" applyBorder="1" applyAlignment="1">
      <alignment horizontal="left"/>
    </xf>
    <xf numFmtId="0" fontId="1" fillId="0" borderId="37" xfId="0" applyFont="1" applyBorder="1"/>
    <xf numFmtId="38" fontId="1" fillId="0" borderId="37" xfId="0" applyNumberFormat="1" applyFont="1" applyBorder="1" applyAlignment="1">
      <alignment vertical="center"/>
    </xf>
    <xf numFmtId="38" fontId="0" fillId="0" borderId="0" xfId="0" applyNumberFormat="1" applyAlignment="1">
      <alignment horizontal="right" vertical="center"/>
    </xf>
    <xf numFmtId="38" fontId="0" fillId="0" borderId="2" xfId="0" applyNumberFormat="1" applyBorder="1" applyAlignment="1">
      <alignment horizontal="right" vertical="center"/>
    </xf>
    <xf numFmtId="175" fontId="0" fillId="0" borderId="40" xfId="0" applyNumberFormat="1" applyBorder="1" applyAlignment="1">
      <alignment horizontal="right"/>
    </xf>
    <xf numFmtId="175" fontId="0" fillId="0" borderId="40" xfId="0" applyNumberFormat="1" applyBorder="1" applyAlignment="1">
      <alignment horizontal="right" vertical="center"/>
    </xf>
    <xf numFmtId="44" fontId="0" fillId="0" borderId="40" xfId="0" applyNumberFormat="1" applyBorder="1" applyAlignment="1">
      <alignment horizontal="right" vertical="center"/>
    </xf>
    <xf numFmtId="0" fontId="1" fillId="0" borderId="39" xfId="0" applyFont="1" applyBorder="1"/>
    <xf numFmtId="175" fontId="0" fillId="0" borderId="2" xfId="0" applyNumberFormat="1" applyBorder="1"/>
    <xf numFmtId="0" fontId="1" fillId="0" borderId="48" xfId="0" applyFont="1" applyBorder="1"/>
    <xf numFmtId="175" fontId="0" fillId="0" borderId="25" xfId="0" applyNumberFormat="1" applyBorder="1"/>
    <xf numFmtId="175" fontId="0" fillId="0" borderId="44" xfId="0" applyNumberFormat="1" applyBorder="1"/>
    <xf numFmtId="175" fontId="0" fillId="0" borderId="45" xfId="0" applyNumberFormat="1" applyBorder="1"/>
    <xf numFmtId="176" fontId="0" fillId="0" borderId="0" xfId="0" applyNumberFormat="1"/>
    <xf numFmtId="44" fontId="0" fillId="0" borderId="40" xfId="0" applyNumberFormat="1" applyBorder="1" applyAlignment="1">
      <alignment horizontal="right"/>
    </xf>
    <xf numFmtId="44" fontId="0" fillId="0" borderId="0" xfId="0" applyNumberFormat="1" applyAlignment="1">
      <alignment horizontal="right" vertical="center"/>
    </xf>
    <xf numFmtId="44" fontId="0" fillId="0" borderId="2" xfId="0" applyNumberFormat="1" applyBorder="1" applyAlignment="1">
      <alignment horizontal="right" vertical="center"/>
    </xf>
    <xf numFmtId="175" fontId="0" fillId="0" borderId="0" xfId="0" applyNumberFormat="1" applyAlignment="1">
      <alignment horizontal="right"/>
    </xf>
    <xf numFmtId="175" fontId="0" fillId="0" borderId="25" xfId="0" applyNumberFormat="1" applyBorder="1" applyAlignment="1">
      <alignment horizontal="center" vertical="center"/>
    </xf>
    <xf numFmtId="175" fontId="0" fillId="0" borderId="44" xfId="0" applyNumberFormat="1" applyBorder="1" applyAlignment="1">
      <alignment horizontal="center" vertical="center"/>
    </xf>
    <xf numFmtId="175" fontId="0" fillId="0" borderId="45" xfId="0" applyNumberFormat="1" applyBorder="1" applyAlignment="1">
      <alignment horizontal="right" vertical="center"/>
    </xf>
    <xf numFmtId="175" fontId="0" fillId="0" borderId="46" xfId="0" applyNumberFormat="1" applyBorder="1"/>
    <xf numFmtId="175" fontId="0" fillId="0" borderId="25" xfId="0" applyNumberFormat="1" applyBorder="1" applyAlignment="1">
      <alignment horizontal="right" vertical="center"/>
    </xf>
    <xf numFmtId="175" fontId="0" fillId="0" borderId="25" xfId="0" applyNumberFormat="1" applyBorder="1" applyAlignment="1">
      <alignment horizontal="right"/>
    </xf>
    <xf numFmtId="175" fontId="0" fillId="0" borderId="44" xfId="0" applyNumberFormat="1" applyBorder="1" applyAlignment="1">
      <alignment horizontal="right" vertical="center"/>
    </xf>
    <xf numFmtId="175" fontId="0" fillId="0" borderId="45" xfId="0" applyNumberFormat="1" applyBorder="1" applyAlignment="1">
      <alignment horizontal="right"/>
    </xf>
    <xf numFmtId="165" fontId="0" fillId="0" borderId="42" xfId="0" applyNumberFormat="1" applyBorder="1"/>
    <xf numFmtId="165" fontId="0" fillId="0" borderId="34" xfId="0" applyNumberFormat="1" applyBorder="1"/>
    <xf numFmtId="165" fontId="0" fillId="0" borderId="0" xfId="0" applyNumberFormat="1" applyBorder="1"/>
    <xf numFmtId="165" fontId="0" fillId="0" borderId="34" xfId="0" applyNumberFormat="1" applyFont="1" applyBorder="1"/>
    <xf numFmtId="165" fontId="0" fillId="0" borderId="42" xfId="0" applyNumberFormat="1" applyFont="1" applyBorder="1"/>
    <xf numFmtId="165" fontId="0" fillId="0" borderId="35" xfId="0" applyNumberFormat="1" applyBorder="1"/>
    <xf numFmtId="165" fontId="0" fillId="5" borderId="35" xfId="0" applyNumberFormat="1" applyFill="1" applyBorder="1"/>
    <xf numFmtId="175" fontId="0" fillId="7" borderId="0" xfId="0" applyNumberFormat="1" applyFill="1"/>
    <xf numFmtId="0" fontId="1" fillId="0" borderId="40" xfId="0" applyFont="1" applyFill="1" applyBorder="1"/>
    <xf numFmtId="0" fontId="0" fillId="0" borderId="40" xfId="0" applyFill="1" applyBorder="1"/>
    <xf numFmtId="175" fontId="0" fillId="0" borderId="40" xfId="0" applyNumberFormat="1" applyFill="1" applyBorder="1"/>
    <xf numFmtId="165" fontId="0" fillId="5" borderId="34" xfId="0" applyNumberFormat="1" applyFill="1" applyBorder="1"/>
    <xf numFmtId="165" fontId="0" fillId="0" borderId="36" xfId="0" applyNumberFormat="1" applyBorder="1"/>
    <xf numFmtId="165" fontId="0" fillId="0" borderId="23" xfId="0" applyNumberFormat="1" applyBorder="1"/>
    <xf numFmtId="165" fontId="0" fillId="0" borderId="47" xfId="0" applyNumberFormat="1" applyBorder="1"/>
    <xf numFmtId="165" fontId="0" fillId="5" borderId="42" xfId="0" applyNumberFormat="1" applyFill="1" applyBorder="1"/>
    <xf numFmtId="0" fontId="1" fillId="9" borderId="0" xfId="0" applyFont="1" applyFill="1"/>
    <xf numFmtId="0" fontId="0" fillId="9" borderId="0" xfId="0" applyFill="1"/>
    <xf numFmtId="165" fontId="0" fillId="0" borderId="0" xfId="0" applyNumberFormat="1" applyFill="1"/>
    <xf numFmtId="165" fontId="0" fillId="0" borderId="29" xfId="0" applyNumberFormat="1" applyBorder="1"/>
    <xf numFmtId="0" fontId="1" fillId="0" borderId="22" xfId="0" applyFont="1" applyBorder="1" applyAlignment="1"/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7" borderId="0" xfId="0" applyFont="1" applyFill="1" applyBorder="1" applyAlignment="1"/>
    <xf numFmtId="0" fontId="1" fillId="7" borderId="7" xfId="0" applyFont="1" applyFill="1" applyBorder="1" applyAlignment="1"/>
    <xf numFmtId="0" fontId="1" fillId="7" borderId="13" xfId="0" applyFont="1" applyFill="1" applyBorder="1" applyAlignment="1"/>
    <xf numFmtId="0" fontId="1" fillId="7" borderId="16" xfId="0" applyFont="1" applyFill="1" applyBorder="1" applyAlignment="1"/>
    <xf numFmtId="0" fontId="1" fillId="0" borderId="18" xfId="0" applyFont="1" applyBorder="1" applyAlignment="1"/>
    <xf numFmtId="0" fontId="1" fillId="0" borderId="27" xfId="0" applyFont="1" applyBorder="1" applyAlignment="1"/>
    <xf numFmtId="0" fontId="0" fillId="8" borderId="0" xfId="0" applyFill="1" applyAlignment="1">
      <alignment horizontal="center"/>
    </xf>
    <xf numFmtId="0" fontId="0" fillId="0" borderId="20" xfId="0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U88"/>
  <sheetViews>
    <sheetView tabSelected="1" workbookViewId="0">
      <selection activeCell="I10" sqref="I10"/>
    </sheetView>
  </sheetViews>
  <sheetFormatPr defaultRowHeight="15"/>
  <cols>
    <col min="1" max="1" width="17.42578125" customWidth="1"/>
    <col min="2" max="2" width="21.7109375" customWidth="1"/>
    <col min="3" max="3" width="12.85546875" customWidth="1"/>
    <col min="4" max="4" width="11.28515625" customWidth="1"/>
    <col min="5" max="5" width="14.42578125" customWidth="1"/>
    <col min="6" max="6" width="14.85546875" customWidth="1"/>
    <col min="7" max="7" width="14.7109375" customWidth="1"/>
    <col min="8" max="8" width="11.7109375" bestFit="1" customWidth="1"/>
    <col min="9" max="10" width="15" customWidth="1"/>
    <col min="11" max="11" width="18.28515625" customWidth="1"/>
    <col min="12" max="12" width="11.42578125" customWidth="1"/>
    <col min="13" max="15" width="10" bestFit="1" customWidth="1"/>
    <col min="16" max="16" width="11" bestFit="1" customWidth="1"/>
    <col min="17" max="19" width="10" bestFit="1" customWidth="1"/>
  </cols>
  <sheetData>
    <row r="2" spans="1:10">
      <c r="A2" t="s">
        <v>0</v>
      </c>
      <c r="F2" s="2" t="s">
        <v>1</v>
      </c>
      <c r="G2" s="2"/>
    </row>
    <row r="3" spans="1:10">
      <c r="A3" t="s">
        <v>2</v>
      </c>
      <c r="F3" s="3" t="s">
        <v>3</v>
      </c>
      <c r="G3" s="3"/>
    </row>
    <row r="4" spans="1:10">
      <c r="F4" s="4" t="s">
        <v>4</v>
      </c>
      <c r="G4" s="4"/>
    </row>
    <row r="5" spans="1:10">
      <c r="A5" s="6" t="s">
        <v>5</v>
      </c>
      <c r="B5">
        <v>2025</v>
      </c>
      <c r="G5" t="s">
        <v>6</v>
      </c>
      <c r="I5" t="s">
        <v>7</v>
      </c>
    </row>
    <row r="6" spans="1:10">
      <c r="I6" t="s">
        <v>8</v>
      </c>
    </row>
    <row r="7" spans="1:10">
      <c r="A7" s="3" t="s">
        <v>9</v>
      </c>
      <c r="B7" s="3" t="s">
        <v>10</v>
      </c>
      <c r="C7" s="3"/>
      <c r="D7" s="3" t="s">
        <v>11</v>
      </c>
      <c r="E7" s="3"/>
      <c r="F7" s="3"/>
      <c r="G7" s="9">
        <v>60000</v>
      </c>
      <c r="I7" s="9"/>
      <c r="J7" s="3"/>
    </row>
    <row r="8" spans="1:10">
      <c r="A8" s="4" t="s">
        <v>12</v>
      </c>
      <c r="B8" s="3" t="s">
        <v>13</v>
      </c>
      <c r="C8" s="3"/>
      <c r="D8" s="3" t="s">
        <v>11</v>
      </c>
      <c r="E8" s="3"/>
      <c r="F8" s="3"/>
      <c r="G8" s="11"/>
      <c r="I8" s="9">
        <v>90000</v>
      </c>
      <c r="J8" s="3"/>
    </row>
    <row r="9" spans="1:10">
      <c r="A9" s="4" t="s">
        <v>14</v>
      </c>
      <c r="B9" s="3" t="s">
        <v>15</v>
      </c>
      <c r="C9" s="3"/>
      <c r="D9" s="3"/>
      <c r="E9" s="3"/>
      <c r="F9" s="3"/>
      <c r="G9" s="11"/>
      <c r="I9" s="13">
        <v>1000</v>
      </c>
      <c r="J9" s="3"/>
    </row>
    <row r="10" spans="1:10">
      <c r="A10" s="4" t="s">
        <v>16</v>
      </c>
      <c r="B10" s="3" t="s">
        <v>17</v>
      </c>
      <c r="C10" s="3"/>
      <c r="D10" s="3"/>
      <c r="E10" s="3"/>
      <c r="F10" s="3"/>
      <c r="G10" s="12">
        <v>0.9</v>
      </c>
      <c r="I10" s="12">
        <v>0.9</v>
      </c>
      <c r="J10" s="12"/>
    </row>
    <row r="11" spans="1:10">
      <c r="A11" s="4" t="s">
        <v>18</v>
      </c>
      <c r="B11" s="3" t="s">
        <v>19</v>
      </c>
      <c r="C11" s="3"/>
      <c r="D11" s="3"/>
      <c r="E11" s="3"/>
      <c r="F11" s="3"/>
      <c r="G11" s="13">
        <v>80</v>
      </c>
      <c r="I11" s="13">
        <v>100</v>
      </c>
      <c r="J11" s="13"/>
    </row>
    <row r="12" spans="1:10">
      <c r="A12" s="4" t="s">
        <v>20</v>
      </c>
      <c r="B12" s="3" t="s">
        <v>21</v>
      </c>
      <c r="C12" s="3"/>
      <c r="D12" s="3"/>
      <c r="E12" s="3"/>
      <c r="F12" s="3"/>
      <c r="G12" s="11">
        <v>11</v>
      </c>
      <c r="I12" s="3">
        <v>11</v>
      </c>
      <c r="J12" s="3"/>
    </row>
    <row r="13" spans="1:10">
      <c r="A13" s="4" t="s">
        <v>22</v>
      </c>
      <c r="B13" s="3" t="s">
        <v>23</v>
      </c>
      <c r="C13" s="3"/>
      <c r="D13" s="3" t="s">
        <v>24</v>
      </c>
      <c r="E13" s="3"/>
      <c r="F13" s="3"/>
      <c r="G13" s="3"/>
      <c r="I13" s="9">
        <v>30000</v>
      </c>
      <c r="J13" s="9"/>
    </row>
    <row r="15" spans="1:10">
      <c r="A15" s="6" t="s">
        <v>25</v>
      </c>
      <c r="B15" s="10" t="s">
        <v>26</v>
      </c>
    </row>
    <row r="16" spans="1:10">
      <c r="B16" s="5" t="s">
        <v>10</v>
      </c>
      <c r="C16" s="15">
        <f>$G$7</f>
        <v>60000</v>
      </c>
    </row>
    <row r="17" spans="1:12">
      <c r="B17" t="s">
        <v>27</v>
      </c>
      <c r="C17" s="16">
        <v>0.05</v>
      </c>
    </row>
    <row r="18" spans="1:12">
      <c r="B18" t="s">
        <v>28</v>
      </c>
      <c r="C18" s="2">
        <v>6</v>
      </c>
    </row>
    <row r="19" spans="1:12">
      <c r="B19" t="s">
        <v>29</v>
      </c>
      <c r="C19" s="1">
        <f>C16/C18/12</f>
        <v>833.33333333333337</v>
      </c>
      <c r="D19" s="7"/>
    </row>
    <row r="20" spans="1:12">
      <c r="B20" s="5" t="s">
        <v>13</v>
      </c>
      <c r="C20" s="15">
        <f>$G$8</f>
        <v>0</v>
      </c>
    </row>
    <row r="21" spans="1:12">
      <c r="C21" s="8">
        <f>C17</f>
        <v>0.05</v>
      </c>
      <c r="G21" s="8"/>
    </row>
    <row r="22" spans="1:12">
      <c r="B22" t="s">
        <v>28</v>
      </c>
      <c r="C22">
        <f>C18</f>
        <v>6</v>
      </c>
    </row>
    <row r="23" spans="1:12">
      <c r="B23" t="s">
        <v>29</v>
      </c>
      <c r="C23" s="1">
        <f>IF(C20=0,0,C20/C22/12)</f>
        <v>0</v>
      </c>
      <c r="G23" s="1"/>
    </row>
    <row r="25" spans="1:12">
      <c r="B25" t="s">
        <v>30</v>
      </c>
    </row>
    <row r="27" spans="1:12">
      <c r="A27" s="17" t="s">
        <v>31</v>
      </c>
      <c r="B27" s="10"/>
      <c r="D27" s="174">
        <v>0.31924999999999998</v>
      </c>
    </row>
    <row r="28" spans="1:12">
      <c r="K28" t="s">
        <v>32</v>
      </c>
      <c r="L28" t="s">
        <v>33</v>
      </c>
    </row>
    <row r="29" spans="1:12">
      <c r="A29" s="17" t="s">
        <v>34</v>
      </c>
      <c r="B29" s="10"/>
      <c r="C29" s="10"/>
      <c r="D29" s="10"/>
      <c r="E29" s="10"/>
      <c r="F29" s="10"/>
      <c r="G29" s="10"/>
      <c r="H29" s="10"/>
      <c r="I29" s="10"/>
      <c r="J29" s="10"/>
      <c r="K29" t="s">
        <v>35</v>
      </c>
      <c r="L29" t="s">
        <v>36</v>
      </c>
    </row>
    <row r="30" spans="1:12">
      <c r="A30" t="s">
        <v>37</v>
      </c>
      <c r="C30" s="22">
        <v>52</v>
      </c>
      <c r="D30" t="s">
        <v>38</v>
      </c>
      <c r="E30" s="22">
        <v>5</v>
      </c>
      <c r="F30" t="s">
        <v>39</v>
      </c>
      <c r="G30" s="22">
        <v>8</v>
      </c>
      <c r="H30" t="s">
        <v>36</v>
      </c>
      <c r="I30">
        <f>(C30*E30*G30)</f>
        <v>2080</v>
      </c>
      <c r="L30">
        <f>I30</f>
        <v>2080</v>
      </c>
    </row>
    <row r="31" spans="1:12">
      <c r="B31" t="s">
        <v>40</v>
      </c>
      <c r="E31" s="22">
        <v>11</v>
      </c>
      <c r="G31" s="22">
        <v>8</v>
      </c>
      <c r="I31">
        <f>-(E31*G31)</f>
        <v>-88</v>
      </c>
      <c r="L31">
        <f>I31</f>
        <v>-88</v>
      </c>
    </row>
    <row r="32" spans="1:12">
      <c r="B32" t="s">
        <v>41</v>
      </c>
      <c r="E32" s="22">
        <v>30</v>
      </c>
      <c r="G32" s="22">
        <v>8</v>
      </c>
      <c r="I32">
        <f>-(E32*G32)</f>
        <v>-240</v>
      </c>
      <c r="L32">
        <f>I32</f>
        <v>-240</v>
      </c>
    </row>
    <row r="33" spans="1:21">
      <c r="B33" t="s">
        <v>42</v>
      </c>
      <c r="E33" s="4">
        <f>$G$12</f>
        <v>11</v>
      </c>
      <c r="G33" s="22">
        <v>8</v>
      </c>
      <c r="I33">
        <f>-(E33*G33)</f>
        <v>-88</v>
      </c>
      <c r="K33" s="4">
        <f>$I$12</f>
        <v>11</v>
      </c>
      <c r="L33">
        <f>-(G33*K33)</f>
        <v>-88</v>
      </c>
    </row>
    <row r="34" spans="1:21">
      <c r="A34" t="s">
        <v>43</v>
      </c>
      <c r="I34" s="29">
        <f>SUM(I30:I33)</f>
        <v>1664</v>
      </c>
      <c r="L34" s="21">
        <f>SUM(L30:L33)</f>
        <v>1664</v>
      </c>
    </row>
    <row r="35" spans="1:21">
      <c r="A35" t="s">
        <v>44</v>
      </c>
      <c r="H35" s="27">
        <v>0.19871800000000001</v>
      </c>
      <c r="I35" s="20">
        <f>-(H35*I34)</f>
        <v>-330.66675200000003</v>
      </c>
      <c r="L35" s="30">
        <f>-(H35*L34)</f>
        <v>-330.66675200000003</v>
      </c>
    </row>
    <row r="36" spans="1:21" ht="5.25" customHeight="1"/>
    <row r="37" spans="1:21">
      <c r="A37" s="17" t="s">
        <v>45</v>
      </c>
      <c r="B37" s="10"/>
      <c r="C37" s="24">
        <v>1</v>
      </c>
      <c r="D37" t="s">
        <v>46</v>
      </c>
      <c r="H37" t="s">
        <v>47</v>
      </c>
      <c r="I37" s="31">
        <f>SUM(I34:I35)</f>
        <v>1333.3332479999999</v>
      </c>
      <c r="K37" t="s">
        <v>47</v>
      </c>
      <c r="L37" s="31">
        <f>SUM(L34:L35)</f>
        <v>1333.3332479999999</v>
      </c>
    </row>
    <row r="39" spans="1:21">
      <c r="A39" s="23"/>
      <c r="B39" s="23"/>
      <c r="C39" s="23"/>
      <c r="D39" s="23"/>
      <c r="E39" s="23">
        <v>2025</v>
      </c>
      <c r="F39" s="23">
        <v>2026</v>
      </c>
      <c r="G39" s="23"/>
      <c r="H39" s="23" t="s">
        <v>48</v>
      </c>
      <c r="I39" s="23" t="s">
        <v>49</v>
      </c>
      <c r="J39" s="23" t="s">
        <v>50</v>
      </c>
      <c r="K39" s="23" t="s">
        <v>51</v>
      </c>
      <c r="L39" s="23" t="s">
        <v>52</v>
      </c>
      <c r="M39" s="23" t="s">
        <v>53</v>
      </c>
      <c r="N39" s="23" t="s">
        <v>54</v>
      </c>
      <c r="O39" s="23" t="s">
        <v>55</v>
      </c>
      <c r="P39" s="23" t="s">
        <v>56</v>
      </c>
      <c r="Q39" s="23" t="s">
        <v>57</v>
      </c>
      <c r="R39" s="23" t="s">
        <v>58</v>
      </c>
      <c r="S39" s="23" t="s">
        <v>59</v>
      </c>
      <c r="T39" s="23"/>
      <c r="U39" s="23"/>
    </row>
    <row r="40" spans="1:21">
      <c r="A40" s="17" t="s">
        <v>60</v>
      </c>
      <c r="B40" s="17"/>
    </row>
    <row r="41" spans="1:21">
      <c r="B41" t="s">
        <v>61</v>
      </c>
      <c r="E41" s="14">
        <f>$G$11</f>
        <v>80</v>
      </c>
      <c r="F41" s="14">
        <f>$I$11</f>
        <v>100</v>
      </c>
    </row>
    <row r="42" spans="1:21">
      <c r="B42" t="s">
        <v>62</v>
      </c>
      <c r="E42" s="19">
        <f>I37</f>
        <v>1333.3332479999999</v>
      </c>
      <c r="F42" s="19">
        <f>L37</f>
        <v>1333.3332479999999</v>
      </c>
    </row>
    <row r="43" spans="1:21">
      <c r="B43" t="s">
        <v>63</v>
      </c>
      <c r="E43" s="26">
        <f>$G$10</f>
        <v>0.9</v>
      </c>
      <c r="F43" s="26">
        <f>$I$10</f>
        <v>0.9</v>
      </c>
    </row>
    <row r="44" spans="1:21">
      <c r="B44" t="s">
        <v>64</v>
      </c>
      <c r="E44" s="21">
        <f>E42*E43</f>
        <v>1199.9999232</v>
      </c>
      <c r="F44" s="21">
        <f>F42*F43</f>
        <v>1199.9999232</v>
      </c>
    </row>
    <row r="45" spans="1:21">
      <c r="B45" t="s">
        <v>65</v>
      </c>
      <c r="E45" s="22">
        <v>15</v>
      </c>
      <c r="F45" s="22">
        <v>15</v>
      </c>
    </row>
    <row r="46" spans="1:21">
      <c r="B46" t="s">
        <v>66</v>
      </c>
      <c r="E46" s="7">
        <f>E41*E44*E45</f>
        <v>1439999.90784</v>
      </c>
      <c r="F46" s="7">
        <f>F41*F44*F45</f>
        <v>1799999.8848000001</v>
      </c>
    </row>
    <row r="47" spans="1:21">
      <c r="A47" s="23"/>
      <c r="B47" s="23"/>
      <c r="C47" s="23"/>
      <c r="D47" s="23"/>
      <c r="E47" s="23" t="s">
        <v>36</v>
      </c>
      <c r="F47" s="23" t="s">
        <v>67</v>
      </c>
      <c r="G47" s="23">
        <v>2025</v>
      </c>
      <c r="H47" s="23">
        <v>2026</v>
      </c>
      <c r="I47" s="23" t="s">
        <v>68</v>
      </c>
      <c r="J47" s="23">
        <v>2025</v>
      </c>
      <c r="K47" s="23">
        <v>2026</v>
      </c>
    </row>
    <row r="48" spans="1:21">
      <c r="A48" s="6" t="s">
        <v>69</v>
      </c>
      <c r="B48" s="10"/>
      <c r="I48" s="27">
        <v>0.21999199999999999</v>
      </c>
    </row>
    <row r="49" spans="1:19">
      <c r="B49" t="s">
        <v>70</v>
      </c>
      <c r="C49" s="22">
        <v>1</v>
      </c>
      <c r="D49" s="33">
        <v>7000</v>
      </c>
      <c r="E49">
        <f>$E$30*$G$30</f>
        <v>40</v>
      </c>
      <c r="F49" s="28">
        <v>45658</v>
      </c>
      <c r="G49" s="7">
        <f>D49*C49</f>
        <v>7000</v>
      </c>
      <c r="H49" s="7">
        <f>C49*D49</f>
        <v>7000</v>
      </c>
      <c r="I49" t="s">
        <v>71</v>
      </c>
      <c r="J49" s="34">
        <f>G49*$I$50*(1+$I$48)</f>
        <v>102479.32799999999</v>
      </c>
      <c r="K49" s="34">
        <f>H49*$I$50*(1+$I$48)</f>
        <v>102479.32799999999</v>
      </c>
    </row>
    <row r="50" spans="1:19">
      <c r="B50" t="s">
        <v>72</v>
      </c>
      <c r="C50" s="22">
        <v>1</v>
      </c>
      <c r="D50" s="33">
        <v>3300</v>
      </c>
      <c r="E50">
        <f>$E$30*$G$30</f>
        <v>40</v>
      </c>
      <c r="F50" s="28">
        <v>45658</v>
      </c>
      <c r="G50" s="7">
        <f>D50*C50</f>
        <v>3300</v>
      </c>
      <c r="H50" s="7">
        <f>C50*D50</f>
        <v>3300</v>
      </c>
      <c r="I50">
        <v>12</v>
      </c>
      <c r="J50" s="34">
        <f>G50*$I$50*(1+$I$48)</f>
        <v>48311.683199999999</v>
      </c>
      <c r="K50" s="34">
        <f t="shared" ref="K50:K53" si="0">H50*$I$50*(1+$I$48)</f>
        <v>48311.683199999999</v>
      </c>
    </row>
    <row r="51" spans="1:19">
      <c r="B51" t="s">
        <v>73</v>
      </c>
      <c r="C51" s="22">
        <v>2</v>
      </c>
      <c r="D51" s="33">
        <v>3300</v>
      </c>
      <c r="E51">
        <f>$E$30*$G$30</f>
        <v>40</v>
      </c>
      <c r="F51" s="28">
        <v>45658</v>
      </c>
      <c r="G51" s="7">
        <f>D51*C51</f>
        <v>6600</v>
      </c>
      <c r="H51" s="7">
        <f>C51*D51</f>
        <v>6600</v>
      </c>
      <c r="J51" s="34">
        <f>G51*$I$50*(1+$I$48)</f>
        <v>96623.366399999999</v>
      </c>
      <c r="K51" s="34">
        <f t="shared" si="0"/>
        <v>96623.366399999999</v>
      </c>
    </row>
    <row r="52" spans="1:19">
      <c r="B52" t="s">
        <v>74</v>
      </c>
      <c r="C52" s="22">
        <v>1</v>
      </c>
      <c r="D52" s="33">
        <v>3300</v>
      </c>
      <c r="E52">
        <f>$E$30*$G$30</f>
        <v>40</v>
      </c>
      <c r="F52" s="28">
        <v>45658</v>
      </c>
      <c r="G52" s="7">
        <f>D52*C52</f>
        <v>3300</v>
      </c>
      <c r="H52" s="7">
        <f>C52*D52</f>
        <v>3300</v>
      </c>
      <c r="J52" s="34">
        <f>G52*$I$50*(1+$I$48)</f>
        <v>48311.683199999999</v>
      </c>
      <c r="K52" s="34">
        <f t="shared" si="0"/>
        <v>48311.683199999999</v>
      </c>
    </row>
    <row r="53" spans="1:19">
      <c r="B53" t="s">
        <v>75</v>
      </c>
      <c r="C53" s="22">
        <v>15</v>
      </c>
      <c r="D53" s="33">
        <v>4300</v>
      </c>
      <c r="E53">
        <f>$E$30*$G$30</f>
        <v>40</v>
      </c>
      <c r="F53" s="28">
        <v>45658</v>
      </c>
      <c r="G53" s="7">
        <f>D53*C53</f>
        <v>64500</v>
      </c>
      <c r="H53" s="7">
        <f>C53*D53</f>
        <v>64500</v>
      </c>
      <c r="J53" s="34">
        <f>G53*$I$50*(1+$I$48)</f>
        <v>944273.80799999996</v>
      </c>
      <c r="K53" s="34">
        <f t="shared" si="0"/>
        <v>944273.80799999996</v>
      </c>
    </row>
    <row r="54" spans="1:19">
      <c r="B54" t="s">
        <v>76</v>
      </c>
      <c r="C54" s="22">
        <v>15</v>
      </c>
      <c r="D54" s="15">
        <f>$I$9</f>
        <v>1000</v>
      </c>
      <c r="F54" s="28">
        <v>46023</v>
      </c>
      <c r="G54" s="7"/>
      <c r="H54" s="7">
        <f>C54*D54</f>
        <v>15000</v>
      </c>
      <c r="J54" s="34">
        <f>G54*$I$50*(1+$I$48)</f>
        <v>0</v>
      </c>
      <c r="K54" s="34">
        <f>H54*$I$50*(1+$I$48)</f>
        <v>219598.56</v>
      </c>
    </row>
    <row r="55" spans="1:19">
      <c r="B55" t="s">
        <v>77</v>
      </c>
      <c r="C55" s="25"/>
      <c r="J55" s="34">
        <f>SUM(J49:J54)</f>
        <v>1239999.8687999998</v>
      </c>
      <c r="K55" s="34">
        <f>SUM(K49:K54)</f>
        <v>1459598.4287999999</v>
      </c>
    </row>
    <row r="57" spans="1:19">
      <c r="A57" s="23"/>
      <c r="B57" s="23"/>
      <c r="C57" s="23"/>
      <c r="D57" s="23"/>
      <c r="E57" s="23">
        <v>2025</v>
      </c>
      <c r="F57" s="23">
        <v>2026</v>
      </c>
      <c r="G57" s="23"/>
      <c r="H57" s="23" t="s">
        <v>48</v>
      </c>
      <c r="I57" s="23" t="s">
        <v>49</v>
      </c>
      <c r="J57" s="23" t="s">
        <v>78</v>
      </c>
      <c r="K57" s="23" t="s">
        <v>51</v>
      </c>
      <c r="L57" s="23" t="s">
        <v>79</v>
      </c>
      <c r="M57" s="23" t="s">
        <v>53</v>
      </c>
      <c r="N57" s="23" t="s">
        <v>54</v>
      </c>
      <c r="O57" s="23" t="s">
        <v>55</v>
      </c>
      <c r="P57" s="23" t="s">
        <v>56</v>
      </c>
      <c r="Q57" s="23" t="s">
        <v>80</v>
      </c>
      <c r="R57" s="23" t="s">
        <v>58</v>
      </c>
      <c r="S57" s="23" t="s">
        <v>81</v>
      </c>
    </row>
    <row r="58" spans="1:19">
      <c r="A58" s="17" t="s">
        <v>82</v>
      </c>
      <c r="B58" s="10"/>
    </row>
    <row r="59" spans="1:19">
      <c r="B59" t="s">
        <v>83</v>
      </c>
      <c r="C59" s="22">
        <v>250</v>
      </c>
      <c r="D59" s="32">
        <v>15</v>
      </c>
      <c r="E59" s="1">
        <f>C59*D59*12</f>
        <v>45000</v>
      </c>
      <c r="F59" s="1">
        <f>C59*D59*12</f>
        <v>45000</v>
      </c>
    </row>
    <row r="60" spans="1:19">
      <c r="B60" t="s">
        <v>84</v>
      </c>
      <c r="E60" s="32">
        <v>100000</v>
      </c>
      <c r="F60" s="1">
        <f>E60</f>
        <v>100000</v>
      </c>
      <c r="H60" s="86">
        <v>7.2999999999999995E-2</v>
      </c>
      <c r="I60" s="86">
        <v>6.0999999999999999E-2</v>
      </c>
      <c r="J60" s="86">
        <v>7.0000000000000007E-2</v>
      </c>
      <c r="K60" s="86">
        <v>6.4000000000000001E-2</v>
      </c>
      <c r="L60" s="86">
        <v>0.23699999999999999</v>
      </c>
      <c r="M60" s="86">
        <v>6.2E-2</v>
      </c>
      <c r="N60" s="86">
        <v>7.1999999999999995E-2</v>
      </c>
      <c r="O60" s="86">
        <v>6.0999999999999999E-2</v>
      </c>
      <c r="P60" s="86">
        <v>0.105</v>
      </c>
      <c r="Q60" s="86">
        <v>6.4000000000000001E-2</v>
      </c>
      <c r="R60" s="86">
        <v>7.0000000000000007E-2</v>
      </c>
      <c r="S60" s="86">
        <v>6.0999999999999999E-2</v>
      </c>
    </row>
    <row r="61" spans="1:19">
      <c r="H61" s="101">
        <f>H60*$E$60</f>
        <v>7299.9999999999991</v>
      </c>
      <c r="I61" s="101">
        <f>I60*$E$60</f>
        <v>6100</v>
      </c>
      <c r="J61" s="101">
        <f>J60*$E$60</f>
        <v>7000.0000000000009</v>
      </c>
      <c r="K61" s="101">
        <f>K60*$E$60</f>
        <v>6400</v>
      </c>
      <c r="L61" s="101">
        <f>L60*$E$60</f>
        <v>23700</v>
      </c>
      <c r="M61" s="101">
        <f>M60*$E$60</f>
        <v>6200</v>
      </c>
      <c r="N61" s="101">
        <f>N60*$E$60</f>
        <v>7199.9999999999991</v>
      </c>
      <c r="O61" s="101">
        <f>O60*$E$60</f>
        <v>6100</v>
      </c>
      <c r="P61" s="101">
        <f>P60*$E$60</f>
        <v>10500</v>
      </c>
      <c r="Q61" s="101">
        <f>Q60*$E$60</f>
        <v>6400</v>
      </c>
      <c r="R61" s="101">
        <f>R60*$E$60</f>
        <v>7000.0000000000009</v>
      </c>
      <c r="S61" s="101">
        <f>S60*$E$60</f>
        <v>6100</v>
      </c>
    </row>
    <row r="62" spans="1:19"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</row>
    <row r="63" spans="1:19">
      <c r="A63" s="23"/>
      <c r="B63" s="23"/>
      <c r="C63" s="23"/>
      <c r="D63" s="23"/>
      <c r="E63" s="23">
        <v>2025</v>
      </c>
      <c r="F63" s="23">
        <v>2026</v>
      </c>
    </row>
    <row r="64" spans="1:19">
      <c r="A64" s="17" t="s">
        <v>85</v>
      </c>
      <c r="B64" s="10"/>
    </row>
    <row r="65" spans="1:6">
      <c r="A65" t="s">
        <v>86</v>
      </c>
      <c r="B65" s="5" t="s">
        <v>87</v>
      </c>
      <c r="D65" s="36">
        <v>45658</v>
      </c>
      <c r="E65" s="35">
        <v>39000</v>
      </c>
      <c r="F65" s="1">
        <v>0</v>
      </c>
    </row>
    <row r="66" spans="1:6">
      <c r="A66" t="s">
        <v>88</v>
      </c>
      <c r="B66" s="22">
        <v>3</v>
      </c>
    </row>
    <row r="67" spans="1:6">
      <c r="A67" t="s">
        <v>89</v>
      </c>
      <c r="E67" s="1">
        <f>E65/B66</f>
        <v>13000</v>
      </c>
      <c r="F67" s="1">
        <f>(E65+F65)/B66</f>
        <v>13000</v>
      </c>
    </row>
    <row r="68" spans="1:6">
      <c r="A68" t="s">
        <v>90</v>
      </c>
      <c r="B68" s="5" t="s">
        <v>91</v>
      </c>
      <c r="D68" s="36">
        <v>45658</v>
      </c>
      <c r="E68" s="35">
        <v>65000</v>
      </c>
      <c r="F68" s="1">
        <v>0</v>
      </c>
    </row>
    <row r="69" spans="1:6">
      <c r="A69" t="s">
        <v>88</v>
      </c>
      <c r="B69" s="22">
        <v>13</v>
      </c>
    </row>
    <row r="70" spans="1:6">
      <c r="A70" t="s">
        <v>92</v>
      </c>
      <c r="E70" s="7">
        <f>E68/B69</f>
        <v>5000</v>
      </c>
      <c r="F70" s="1">
        <f>(E68+F68)/B69</f>
        <v>5000</v>
      </c>
    </row>
    <row r="71" spans="1:6">
      <c r="A71" t="s">
        <v>90</v>
      </c>
      <c r="B71" s="5" t="s">
        <v>93</v>
      </c>
      <c r="D71" s="36">
        <v>46023</v>
      </c>
      <c r="F71" s="15">
        <f>I13</f>
        <v>30000</v>
      </c>
    </row>
    <row r="72" spans="1:6">
      <c r="A72" t="s">
        <v>88</v>
      </c>
      <c r="B72" s="22">
        <v>5</v>
      </c>
    </row>
    <row r="73" spans="1:6">
      <c r="A73" t="s">
        <v>94</v>
      </c>
      <c r="F73" s="7">
        <f>F71/B72</f>
        <v>6000</v>
      </c>
    </row>
    <row r="74" spans="1:6">
      <c r="A74" s="5" t="s">
        <v>95</v>
      </c>
      <c r="E74" s="7">
        <f>E65+E68</f>
        <v>104000</v>
      </c>
      <c r="F74" s="7">
        <f>F71</f>
        <v>30000</v>
      </c>
    </row>
    <row r="75" spans="1:6">
      <c r="A75" s="5" t="s">
        <v>96</v>
      </c>
      <c r="E75" s="1">
        <f>E67+E70</f>
        <v>18000</v>
      </c>
      <c r="F75" s="7">
        <f>F67+F70+F73</f>
        <v>24000</v>
      </c>
    </row>
    <row r="78" spans="1:6">
      <c r="A78" s="23"/>
      <c r="B78" s="23"/>
      <c r="C78" s="23"/>
      <c r="D78" s="23">
        <v>2024</v>
      </c>
      <c r="E78" s="23">
        <v>2025</v>
      </c>
      <c r="F78" s="23">
        <v>2026</v>
      </c>
    </row>
    <row r="79" spans="1:6">
      <c r="A79" s="17" t="s">
        <v>97</v>
      </c>
      <c r="B79" s="10"/>
    </row>
    <row r="80" spans="1:6">
      <c r="A80" s="18" t="s">
        <v>98</v>
      </c>
      <c r="D80" s="1">
        <v>0</v>
      </c>
    </row>
    <row r="81" spans="1:6">
      <c r="A81" t="s">
        <v>99</v>
      </c>
      <c r="B81" t="s">
        <v>100</v>
      </c>
      <c r="D81" s="32">
        <v>0</v>
      </c>
    </row>
    <row r="82" spans="1:6">
      <c r="B82" t="s">
        <v>101</v>
      </c>
      <c r="D82" s="33">
        <v>100000</v>
      </c>
    </row>
    <row r="83" spans="1:6">
      <c r="A83" t="s">
        <v>102</v>
      </c>
      <c r="D83" s="7">
        <f>SUM(D81:D82)</f>
        <v>100000</v>
      </c>
    </row>
    <row r="84" spans="1:6">
      <c r="A84" t="s">
        <v>103</v>
      </c>
      <c r="B84" t="s">
        <v>104</v>
      </c>
      <c r="D84" s="33">
        <v>50000</v>
      </c>
      <c r="E84" s="205"/>
      <c r="F84" s="205"/>
    </row>
    <row r="85" spans="1:6">
      <c r="B85" t="s">
        <v>105</v>
      </c>
      <c r="D85" s="33">
        <v>30000</v>
      </c>
      <c r="E85" s="205"/>
      <c r="F85" s="205"/>
    </row>
    <row r="86" spans="1:6" ht="15.75" customHeight="1">
      <c r="B86" t="s">
        <v>106</v>
      </c>
      <c r="D86" s="33">
        <v>20000</v>
      </c>
      <c r="E86" s="18" t="s">
        <v>107</v>
      </c>
    </row>
    <row r="87" spans="1:6">
      <c r="A87" t="s">
        <v>108</v>
      </c>
      <c r="B87" t="s">
        <v>109</v>
      </c>
      <c r="D87" s="1">
        <v>0</v>
      </c>
    </row>
    <row r="88" spans="1:6">
      <c r="A88" t="s">
        <v>102</v>
      </c>
      <c r="D88" s="7">
        <f>SUM(D84:D86)</f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B337-EC9B-4D4F-9904-ED6D271B561F}">
  <sheetPr>
    <tabColor rgb="FF92D050"/>
  </sheetPr>
  <dimension ref="A1:AB30"/>
  <sheetViews>
    <sheetView workbookViewId="0">
      <selection activeCell="AB10" sqref="AB10"/>
    </sheetView>
  </sheetViews>
  <sheetFormatPr defaultRowHeight="15" outlineLevelCol="1"/>
  <cols>
    <col min="1" max="1" width="8.28515625" customWidth="1"/>
    <col min="2" max="2" width="43.42578125" customWidth="1"/>
    <col min="3" max="4" width="13" hidden="1" customWidth="1" outlineLevel="1"/>
    <col min="5" max="5" width="12.28515625" hidden="1" customWidth="1" outlineLevel="1"/>
    <col min="6" max="8" width="10.7109375" hidden="1" customWidth="1" outlineLevel="1"/>
    <col min="9" max="9" width="11.85546875" hidden="1" customWidth="1" outlineLevel="1"/>
    <col min="10" max="12" width="10.7109375" hidden="1" customWidth="1" outlineLevel="1"/>
    <col min="13" max="13" width="11.85546875" hidden="1" customWidth="1" outlineLevel="1"/>
    <col min="14" max="14" width="10.7109375" hidden="1" customWidth="1" outlineLevel="1"/>
    <col min="15" max="15" width="12.140625" customWidth="1" collapsed="1"/>
    <col min="16" max="16" width="14.140625" hidden="1" customWidth="1" outlineLevel="1"/>
    <col min="17" max="19" width="13" hidden="1" customWidth="1" outlineLevel="1"/>
    <col min="20" max="20" width="10" hidden="1" customWidth="1" outlineLevel="1"/>
    <col min="21" max="26" width="13" hidden="1" customWidth="1" outlineLevel="1"/>
    <col min="27" max="27" width="10.5703125" hidden="1" customWidth="1" outlineLevel="1"/>
    <col min="28" max="28" width="14.5703125" bestFit="1" customWidth="1" collapsed="1"/>
  </cols>
  <sheetData>
    <row r="1" spans="1:28">
      <c r="O1" s="147" t="s">
        <v>110</v>
      </c>
      <c r="AB1" s="147" t="s">
        <v>110</v>
      </c>
    </row>
    <row r="2" spans="1:28">
      <c r="A2" t="s">
        <v>111</v>
      </c>
      <c r="C2" s="145" t="s">
        <v>112</v>
      </c>
      <c r="D2" s="45" t="s">
        <v>113</v>
      </c>
      <c r="E2" s="45" t="s">
        <v>114</v>
      </c>
      <c r="F2" s="45" t="s">
        <v>115</v>
      </c>
      <c r="G2" s="45" t="s">
        <v>116</v>
      </c>
      <c r="H2" s="45" t="s">
        <v>117</v>
      </c>
      <c r="I2" s="45" t="s">
        <v>118</v>
      </c>
      <c r="J2" s="45" t="s">
        <v>119</v>
      </c>
      <c r="K2" s="45" t="s">
        <v>120</v>
      </c>
      <c r="L2" s="45" t="s">
        <v>121</v>
      </c>
      <c r="M2" s="45" t="s">
        <v>122</v>
      </c>
      <c r="N2" s="45" t="s">
        <v>123</v>
      </c>
      <c r="O2" s="146">
        <v>2025</v>
      </c>
      <c r="P2" s="145" t="s">
        <v>112</v>
      </c>
      <c r="Q2" s="45" t="s">
        <v>113</v>
      </c>
      <c r="R2" s="45" t="s">
        <v>114</v>
      </c>
      <c r="S2" s="45" t="s">
        <v>115</v>
      </c>
      <c r="T2" s="45" t="s">
        <v>116</v>
      </c>
      <c r="U2" s="45" t="s">
        <v>117</v>
      </c>
      <c r="V2" s="45" t="s">
        <v>118</v>
      </c>
      <c r="W2" s="45" t="s">
        <v>119</v>
      </c>
      <c r="X2" s="45" t="s">
        <v>120</v>
      </c>
      <c r="Y2" s="45" t="s">
        <v>121</v>
      </c>
      <c r="Z2" s="45" t="s">
        <v>122</v>
      </c>
      <c r="AA2" s="45" t="s">
        <v>123</v>
      </c>
      <c r="AB2" s="146">
        <v>2026</v>
      </c>
    </row>
    <row r="3" spans="1:28">
      <c r="A3" s="128" t="s">
        <v>124</v>
      </c>
      <c r="B3" s="23"/>
      <c r="C3" s="138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138"/>
      <c r="P3" s="138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138"/>
    </row>
    <row r="4" spans="1:28">
      <c r="A4" s="17" t="s">
        <v>125</v>
      </c>
      <c r="B4" s="10"/>
      <c r="C4" s="198">
        <f>Umsatz!B6</f>
        <v>71999.995391999997</v>
      </c>
      <c r="D4" s="198">
        <f>Umsatz!C6</f>
        <v>143999.99078399999</v>
      </c>
      <c r="E4" s="198">
        <f>Umsatz!D6</f>
        <v>143999.99078399999</v>
      </c>
      <c r="F4" s="198">
        <f>Umsatz!E6</f>
        <v>115199.9926272</v>
      </c>
      <c r="G4" s="198">
        <f>Umsatz!F6</f>
        <v>71999.995391999997</v>
      </c>
      <c r="H4" s="198">
        <f>Umsatz!G6</f>
        <v>143999.99078399999</v>
      </c>
      <c r="I4" s="198">
        <f>Umsatz!H6</f>
        <v>71999.995391999997</v>
      </c>
      <c r="J4" s="198">
        <f>Umsatz!I6</f>
        <v>71999.995391999997</v>
      </c>
      <c r="K4" s="198">
        <f>Umsatz!J6</f>
        <v>215999.98617600001</v>
      </c>
      <c r="L4" s="198">
        <f>Umsatz!K6</f>
        <v>143999.99078399999</v>
      </c>
      <c r="M4" s="198">
        <f>Umsatz!L6</f>
        <v>115199.9926272</v>
      </c>
      <c r="N4" s="198">
        <f>Umsatz!M6</f>
        <v>129599.9917056</v>
      </c>
      <c r="O4" s="198">
        <f>Umsatz!N6</f>
        <v>1439999.90784</v>
      </c>
      <c r="P4" s="198">
        <f>Umsatz!O6</f>
        <v>89999.994240000015</v>
      </c>
      <c r="Q4" s="198">
        <f>Umsatz!P6</f>
        <v>179999.98848000003</v>
      </c>
      <c r="R4" s="198">
        <f>Umsatz!Q6</f>
        <v>179999.98848000003</v>
      </c>
      <c r="S4" s="198">
        <f>Umsatz!R6</f>
        <v>143999.99078400002</v>
      </c>
      <c r="T4" s="198">
        <f>Umsatz!S6</f>
        <v>89999.994240000015</v>
      </c>
      <c r="U4" s="198">
        <f>Umsatz!T6</f>
        <v>179999.98848000003</v>
      </c>
      <c r="V4" s="198">
        <f>Umsatz!U6</f>
        <v>89999.994240000015</v>
      </c>
      <c r="W4" s="198">
        <f>Umsatz!V6</f>
        <v>89999.994240000015</v>
      </c>
      <c r="X4" s="198">
        <f>Umsatz!W6</f>
        <v>269999.98272000003</v>
      </c>
      <c r="Y4" s="198">
        <f>Umsatz!X6</f>
        <v>179999.98848000003</v>
      </c>
      <c r="Z4" s="198">
        <f>Umsatz!Y6</f>
        <v>143999.99078400002</v>
      </c>
      <c r="AA4" s="198">
        <f>Umsatz!Z6</f>
        <v>161999.98963200001</v>
      </c>
      <c r="AB4" s="198">
        <f>Umsatz!AA6</f>
        <v>1799999.8848000001</v>
      </c>
    </row>
    <row r="5" spans="1:28">
      <c r="A5" s="116" t="s">
        <v>126</v>
      </c>
      <c r="B5" s="66"/>
      <c r="C5" s="199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199"/>
      <c r="P5" s="199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199"/>
    </row>
    <row r="6" spans="1:28">
      <c r="B6" s="10" t="s">
        <v>127</v>
      </c>
      <c r="C6" s="198">
        <f>Personal!G21</f>
        <v>103333.3224</v>
      </c>
      <c r="D6" s="198">
        <f>Personal!H21</f>
        <v>103333.3224</v>
      </c>
      <c r="E6" s="198">
        <f>Personal!I21</f>
        <v>103333.3224</v>
      </c>
      <c r="F6" s="198">
        <f>Personal!J21</f>
        <v>103333.3224</v>
      </c>
      <c r="G6" s="198">
        <f>Personal!K21</f>
        <v>103333.3224</v>
      </c>
      <c r="H6" s="198">
        <f>Personal!L21</f>
        <v>103333.3224</v>
      </c>
      <c r="I6" s="198">
        <f>Personal!M21</f>
        <v>103333.3224</v>
      </c>
      <c r="J6" s="198">
        <f>Personal!N21</f>
        <v>103333.3224</v>
      </c>
      <c r="K6" s="198">
        <f>Personal!O21</f>
        <v>103333.3224</v>
      </c>
      <c r="L6" s="198">
        <f>Personal!P21</f>
        <v>103333.3224</v>
      </c>
      <c r="M6" s="198">
        <f>Personal!Q21</f>
        <v>103333.3224</v>
      </c>
      <c r="N6" s="198">
        <f>Personal!R21</f>
        <v>103333.3224</v>
      </c>
      <c r="O6" s="198">
        <f>Personal!S21</f>
        <v>1239999.8688000001</v>
      </c>
      <c r="P6" s="198">
        <f>Personal!T21</f>
        <v>121633.20239999999</v>
      </c>
      <c r="Q6" s="198">
        <f>Personal!U21</f>
        <v>121633.20239999999</v>
      </c>
      <c r="R6" s="198">
        <f>Personal!V21</f>
        <v>121633.20239999999</v>
      </c>
      <c r="S6" s="198">
        <f>Personal!W21</f>
        <v>121633.20239999999</v>
      </c>
      <c r="T6" s="198">
        <f>Personal!X21</f>
        <v>121633.20239999999</v>
      </c>
      <c r="U6" s="198">
        <f>Personal!Y21</f>
        <v>121633.20239999999</v>
      </c>
      <c r="V6" s="198">
        <f>Personal!Z21</f>
        <v>121633.20239999999</v>
      </c>
      <c r="W6" s="198">
        <f>Personal!AA21</f>
        <v>121633.20239999999</v>
      </c>
      <c r="X6" s="198">
        <f>Personal!AB21</f>
        <v>121633.20239999999</v>
      </c>
      <c r="Y6" s="198">
        <f>Personal!AC21</f>
        <v>121633.20239999999</v>
      </c>
      <c r="Z6" s="198">
        <f>Personal!AD21</f>
        <v>121633.20239999999</v>
      </c>
      <c r="AA6" s="198">
        <f>Personal!AE21</f>
        <v>121633.20239999999</v>
      </c>
      <c r="AB6" s="198">
        <f>Personal!AF21</f>
        <v>1459598.4287999999</v>
      </c>
    </row>
    <row r="7" spans="1:28">
      <c r="B7" t="s">
        <v>128</v>
      </c>
      <c r="C7" s="188">
        <f>Aufwand!B5</f>
        <v>3750</v>
      </c>
      <c r="D7" s="188">
        <f>Aufwand!C5</f>
        <v>3750</v>
      </c>
      <c r="E7" s="188">
        <f>Aufwand!D5</f>
        <v>3750</v>
      </c>
      <c r="F7" s="188">
        <f>Aufwand!E5</f>
        <v>3750</v>
      </c>
      <c r="G7" s="188">
        <f>Aufwand!F5</f>
        <v>3750</v>
      </c>
      <c r="H7" s="188">
        <f>Aufwand!G5</f>
        <v>3750</v>
      </c>
      <c r="I7" s="188">
        <f>Aufwand!H5</f>
        <v>3750</v>
      </c>
      <c r="J7" s="188">
        <f>Aufwand!I5</f>
        <v>3750</v>
      </c>
      <c r="K7" s="188">
        <f>Aufwand!J5</f>
        <v>3750</v>
      </c>
      <c r="L7" s="188">
        <f>Aufwand!K5</f>
        <v>3750</v>
      </c>
      <c r="M7" s="188">
        <f>Aufwand!L5</f>
        <v>3750</v>
      </c>
      <c r="N7" s="188">
        <f>Aufwand!M5</f>
        <v>3750</v>
      </c>
      <c r="O7" s="188">
        <f>Aufwand!N5</f>
        <v>45000</v>
      </c>
      <c r="P7" s="188">
        <f>Aufwand!O5</f>
        <v>3750</v>
      </c>
      <c r="Q7" s="188">
        <f>Aufwand!P5</f>
        <v>3750</v>
      </c>
      <c r="R7" s="188">
        <f>Aufwand!Q5</f>
        <v>3750</v>
      </c>
      <c r="S7" s="188">
        <f>Aufwand!R5</f>
        <v>3750</v>
      </c>
      <c r="T7" s="188">
        <f>Aufwand!S5</f>
        <v>3750</v>
      </c>
      <c r="U7" s="188">
        <f>Aufwand!T5</f>
        <v>3750</v>
      </c>
      <c r="V7" s="188">
        <f>Aufwand!U5</f>
        <v>3750</v>
      </c>
      <c r="W7" s="188">
        <f>Aufwand!V5</f>
        <v>3750</v>
      </c>
      <c r="X7" s="188">
        <f>Aufwand!W5</f>
        <v>3750</v>
      </c>
      <c r="Y7" s="188">
        <f>Aufwand!X5</f>
        <v>3750</v>
      </c>
      <c r="Z7" s="188">
        <f>Aufwand!Y5</f>
        <v>3750</v>
      </c>
      <c r="AA7" s="188">
        <f>Aufwand!Z5</f>
        <v>3750</v>
      </c>
      <c r="AB7" s="188">
        <f>Aufwand!AA5</f>
        <v>45000</v>
      </c>
    </row>
    <row r="8" spans="1:28">
      <c r="B8" s="41" t="s">
        <v>84</v>
      </c>
      <c r="C8" s="192">
        <f>Aufwand!B6</f>
        <v>7299.9999999999991</v>
      </c>
      <c r="D8" s="192">
        <f>Aufwand!C6</f>
        <v>6100</v>
      </c>
      <c r="E8" s="192">
        <f>Aufwand!D6</f>
        <v>7000.0000000000009</v>
      </c>
      <c r="F8" s="192">
        <f>Aufwand!E6</f>
        <v>6400</v>
      </c>
      <c r="G8" s="192">
        <f>Aufwand!F6</f>
        <v>23700</v>
      </c>
      <c r="H8" s="192">
        <f>Aufwand!G6</f>
        <v>6200</v>
      </c>
      <c r="I8" s="192">
        <f>Aufwand!H6</f>
        <v>7199.9999999999991</v>
      </c>
      <c r="J8" s="192">
        <f>Aufwand!I6</f>
        <v>6100</v>
      </c>
      <c r="K8" s="192">
        <f>Aufwand!J6</f>
        <v>10500</v>
      </c>
      <c r="L8" s="192">
        <f>Aufwand!K6</f>
        <v>6400</v>
      </c>
      <c r="M8" s="192">
        <f>Aufwand!L6</f>
        <v>7000.0000000000009</v>
      </c>
      <c r="N8" s="192">
        <f>Aufwand!M6</f>
        <v>6100</v>
      </c>
      <c r="O8" s="192">
        <f>Aufwand!N6</f>
        <v>100000</v>
      </c>
      <c r="P8" s="192">
        <f>Aufwand!O6</f>
        <v>7299.9999999999991</v>
      </c>
      <c r="Q8" s="192">
        <f>Aufwand!P6</f>
        <v>6100</v>
      </c>
      <c r="R8" s="192">
        <f>Aufwand!Q6</f>
        <v>7000.0000000000009</v>
      </c>
      <c r="S8" s="192">
        <f>Aufwand!R6</f>
        <v>6400</v>
      </c>
      <c r="T8" s="192">
        <f>Aufwand!S6</f>
        <v>23700</v>
      </c>
      <c r="U8" s="192">
        <f>Aufwand!T6</f>
        <v>6200</v>
      </c>
      <c r="V8" s="192">
        <f>Aufwand!U6</f>
        <v>7199.9999999999991</v>
      </c>
      <c r="W8" s="192">
        <f>Aufwand!V6</f>
        <v>6100</v>
      </c>
      <c r="X8" s="192">
        <f>Aufwand!W6</f>
        <v>10500</v>
      </c>
      <c r="Y8" s="192">
        <f>Aufwand!X6</f>
        <v>6400</v>
      </c>
      <c r="Z8" s="192">
        <f>Aufwand!Y6</f>
        <v>7000.0000000000009</v>
      </c>
      <c r="AA8" s="192">
        <f>Aufwand!Z6</f>
        <v>6100</v>
      </c>
      <c r="AB8" s="192">
        <f>Aufwand!AA6</f>
        <v>100000</v>
      </c>
    </row>
    <row r="9" spans="1:28">
      <c r="B9" s="5" t="s">
        <v>129</v>
      </c>
      <c r="C9" s="188">
        <f>SUM(C6:C8)</f>
        <v>114383.3224</v>
      </c>
      <c r="D9" s="188">
        <f>SUM(D6:D8)</f>
        <v>113183.3224</v>
      </c>
      <c r="E9" s="188">
        <f>SUM(E6:E8)</f>
        <v>114083.3224</v>
      </c>
      <c r="F9" s="188">
        <f>SUM(F6:F8)</f>
        <v>113483.3224</v>
      </c>
      <c r="G9" s="188">
        <f>SUM(G6:G8)</f>
        <v>130783.3224</v>
      </c>
      <c r="H9" s="188">
        <f>SUM(H6:H8)</f>
        <v>113283.3224</v>
      </c>
      <c r="I9" s="188">
        <f>SUM(I6:I8)</f>
        <v>114283.3224</v>
      </c>
      <c r="J9" s="188">
        <f>SUM(J6:J8)</f>
        <v>113183.3224</v>
      </c>
      <c r="K9" s="188">
        <f>SUM(K6:K8)</f>
        <v>117583.3224</v>
      </c>
      <c r="L9" s="188">
        <f>SUM(L6:L8)</f>
        <v>113483.3224</v>
      </c>
      <c r="M9" s="188">
        <f>SUM(M6:M8)</f>
        <v>114083.3224</v>
      </c>
      <c r="N9" s="188">
        <f>SUM(N6:N8)</f>
        <v>113183.3224</v>
      </c>
      <c r="O9" s="188">
        <f>SUM(O6:O8)</f>
        <v>1384999.8688000001</v>
      </c>
      <c r="P9" s="188">
        <f>SUM(P6:P8)</f>
        <v>132683.20239999998</v>
      </c>
      <c r="Q9" s="188">
        <f>SUM(Q6:Q8)</f>
        <v>131483.20240000001</v>
      </c>
      <c r="R9" s="188">
        <f>SUM(R6:R8)</f>
        <v>132383.20240000001</v>
      </c>
      <c r="S9" s="188">
        <f>SUM(S6:S8)</f>
        <v>131783.20240000001</v>
      </c>
      <c r="T9" s="188">
        <f>SUM(T6:T8)</f>
        <v>149083.20240000001</v>
      </c>
      <c r="U9" s="188">
        <f>SUM(U6:U8)</f>
        <v>131583.20240000001</v>
      </c>
      <c r="V9" s="188">
        <f>SUM(V6:V8)</f>
        <v>132583.20239999998</v>
      </c>
      <c r="W9" s="188">
        <f>SUM(W6:W8)</f>
        <v>131483.20240000001</v>
      </c>
      <c r="X9" s="188">
        <f>SUM(X6:X8)</f>
        <v>135883.20240000001</v>
      </c>
      <c r="Y9" s="188">
        <f>SUM(Y6:Y8)</f>
        <v>131783.20240000001</v>
      </c>
      <c r="Z9" s="188">
        <f>SUM(Z6:Z8)</f>
        <v>132383.20240000001</v>
      </c>
      <c r="AA9" s="188">
        <f>SUM(AA6:AA8)</f>
        <v>131483.20240000001</v>
      </c>
      <c r="AB9" s="188">
        <f>SUM(AB6:AB8)</f>
        <v>1604598.4287999999</v>
      </c>
    </row>
    <row r="10" spans="1:28">
      <c r="B10" s="5" t="s">
        <v>130</v>
      </c>
      <c r="C10" s="188">
        <f>Kredit!C19</f>
        <v>250</v>
      </c>
      <c r="D10" s="188">
        <f>Kredit!D19</f>
        <v>246.5277777777778</v>
      </c>
      <c r="E10" s="188">
        <f>Kredit!E19</f>
        <v>243.05555555555554</v>
      </c>
      <c r="F10" s="188">
        <f>Kredit!F19</f>
        <v>239.58333333333334</v>
      </c>
      <c r="G10" s="188">
        <f>Kredit!G19</f>
        <v>236.11111111111109</v>
      </c>
      <c r="H10" s="188">
        <f>Kredit!H19</f>
        <v>232.63888888888883</v>
      </c>
      <c r="I10" s="188">
        <f>Kredit!I19</f>
        <v>229.16666666666663</v>
      </c>
      <c r="J10" s="188">
        <f>Kredit!J19</f>
        <v>225.69444444444437</v>
      </c>
      <c r="K10" s="188">
        <f>Kredit!K19</f>
        <v>222.22222222222217</v>
      </c>
      <c r="L10" s="188">
        <f>Kredit!L19</f>
        <v>218.74999999999991</v>
      </c>
      <c r="M10" s="188">
        <f>Kredit!M19</f>
        <v>215.27777777777769</v>
      </c>
      <c r="N10" s="188">
        <f>Kredit!N19</f>
        <v>211.80555555555546</v>
      </c>
      <c r="O10" s="188">
        <f>Kredit!O19</f>
        <v>2770.8333333333335</v>
      </c>
      <c r="P10" s="188">
        <f>Kredit!P19</f>
        <v>583.33333333333326</v>
      </c>
      <c r="Q10" s="188">
        <f>Kredit!Q19</f>
        <v>574.65277777777771</v>
      </c>
      <c r="R10" s="188">
        <f>Kredit!R19</f>
        <v>565.97222222222206</v>
      </c>
      <c r="S10" s="188">
        <f>Kredit!S19</f>
        <v>557.29166666666652</v>
      </c>
      <c r="T10" s="188">
        <f>Kredit!T19</f>
        <v>548.61111111111097</v>
      </c>
      <c r="U10" s="188">
        <f>Kredit!U19</f>
        <v>539.93055555555543</v>
      </c>
      <c r="V10" s="188">
        <f>Kredit!V19</f>
        <v>531.24999999999977</v>
      </c>
      <c r="W10" s="188">
        <f>Kredit!W19</f>
        <v>522.56944444444434</v>
      </c>
      <c r="X10" s="188">
        <f>Kredit!X19</f>
        <v>513.88888888888869</v>
      </c>
      <c r="Y10" s="188">
        <f>Kredit!Y19</f>
        <v>505.20833333333314</v>
      </c>
      <c r="Z10" s="188">
        <f>Kredit!Z19</f>
        <v>496.5277777777776</v>
      </c>
      <c r="AA10" s="188">
        <f>Kredit!AA19</f>
        <v>487.84722222222194</v>
      </c>
      <c r="AB10" s="188">
        <f>Kredit!AB19</f>
        <v>6427.0833333333321</v>
      </c>
    </row>
    <row r="11" spans="1:28">
      <c r="A11" s="41"/>
      <c r="B11" s="111" t="s">
        <v>89</v>
      </c>
      <c r="C11" s="192">
        <f>Investitionen!E19</f>
        <v>1500</v>
      </c>
      <c r="D11" s="192">
        <f>Investitionen!F19</f>
        <v>1500</v>
      </c>
      <c r="E11" s="192">
        <f>Investitionen!G19</f>
        <v>1500</v>
      </c>
      <c r="F11" s="192">
        <f>Investitionen!H19</f>
        <v>1500</v>
      </c>
      <c r="G11" s="192">
        <f>Investitionen!I19</f>
        <v>1500</v>
      </c>
      <c r="H11" s="192">
        <f>Investitionen!J19</f>
        <v>1500</v>
      </c>
      <c r="I11" s="192">
        <f>Investitionen!K19</f>
        <v>1500</v>
      </c>
      <c r="J11" s="192">
        <f>Investitionen!L19</f>
        <v>1500</v>
      </c>
      <c r="K11" s="192">
        <f>Investitionen!M19</f>
        <v>1500</v>
      </c>
      <c r="L11" s="192">
        <f>Investitionen!N19</f>
        <v>1500</v>
      </c>
      <c r="M11" s="192">
        <f>Investitionen!O19</f>
        <v>1500</v>
      </c>
      <c r="N11" s="192">
        <f>Investitionen!P19</f>
        <v>1500</v>
      </c>
      <c r="O11" s="192">
        <f>Investitionen!Q19</f>
        <v>18000</v>
      </c>
      <c r="P11" s="192">
        <f>Investitionen!R19</f>
        <v>2000</v>
      </c>
      <c r="Q11" s="192">
        <f>Investitionen!S19</f>
        <v>2000</v>
      </c>
      <c r="R11" s="192">
        <f>Investitionen!T19</f>
        <v>2000</v>
      </c>
      <c r="S11" s="192">
        <f>Investitionen!U19</f>
        <v>2000</v>
      </c>
      <c r="T11" s="192">
        <f>Investitionen!V19</f>
        <v>2000</v>
      </c>
      <c r="U11" s="192">
        <f>Investitionen!W19</f>
        <v>2000</v>
      </c>
      <c r="V11" s="192">
        <f>Investitionen!X19</f>
        <v>2000</v>
      </c>
      <c r="W11" s="192">
        <f>Investitionen!Y19</f>
        <v>2000</v>
      </c>
      <c r="X11" s="192">
        <f>Investitionen!Z19</f>
        <v>2000</v>
      </c>
      <c r="Y11" s="192">
        <f>Investitionen!AA19</f>
        <v>2000</v>
      </c>
      <c r="Z11" s="192">
        <f>Investitionen!AB19</f>
        <v>2000</v>
      </c>
      <c r="AA11" s="192">
        <f>Investitionen!AC19</f>
        <v>2000</v>
      </c>
      <c r="AB11" s="192">
        <f>Investitionen!AD19</f>
        <v>24000</v>
      </c>
    </row>
    <row r="12" spans="1:28">
      <c r="A12" s="144" t="s">
        <v>131</v>
      </c>
      <c r="B12" s="127"/>
      <c r="C12" s="201">
        <f>SUM(C9:C11)</f>
        <v>116133.3224</v>
      </c>
      <c r="D12" s="201">
        <f>SUM(D9:D11)</f>
        <v>114929.85017777779</v>
      </c>
      <c r="E12" s="201">
        <f>SUM(E9:E11)</f>
        <v>115826.37795555557</v>
      </c>
      <c r="F12" s="201">
        <f>SUM(F9:F11)</f>
        <v>115222.90573333333</v>
      </c>
      <c r="G12" s="201">
        <f>SUM(G9:G11)</f>
        <v>132519.43351111113</v>
      </c>
      <c r="H12" s="201">
        <f>SUM(H9:H11)</f>
        <v>115015.9612888889</v>
      </c>
      <c r="I12" s="201">
        <f>SUM(I9:I11)</f>
        <v>116012.48906666668</v>
      </c>
      <c r="J12" s="201">
        <f>SUM(J9:J11)</f>
        <v>114909.01684444444</v>
      </c>
      <c r="K12" s="201">
        <f>SUM(K9:K11)</f>
        <v>119305.54462222222</v>
      </c>
      <c r="L12" s="201">
        <f>SUM(L9:L11)</f>
        <v>115202.0724</v>
      </c>
      <c r="M12" s="201">
        <f>SUM(M9:M11)</f>
        <v>115798.60017777779</v>
      </c>
      <c r="N12" s="201">
        <f>SUM(N9:N11)</f>
        <v>114895.12795555557</v>
      </c>
      <c r="O12" s="201">
        <f>SUM(O9:O11)</f>
        <v>1405770.7021333333</v>
      </c>
      <c r="P12" s="201">
        <f>SUM(P9:P11)</f>
        <v>135266.53573333332</v>
      </c>
      <c r="Q12" s="201">
        <f>SUM(Q9:Q11)</f>
        <v>134057.85517777779</v>
      </c>
      <c r="R12" s="201">
        <f>SUM(R9:R11)</f>
        <v>134949.17462222223</v>
      </c>
      <c r="S12" s="201">
        <f>SUM(S9:S11)</f>
        <v>134340.49406666667</v>
      </c>
      <c r="T12" s="201">
        <f>SUM(T9:T11)</f>
        <v>151631.81351111113</v>
      </c>
      <c r="U12" s="201">
        <f>SUM(U9:U11)</f>
        <v>134123.13295555557</v>
      </c>
      <c r="V12" s="201">
        <f>SUM(V9:V11)</f>
        <v>135114.45239999998</v>
      </c>
      <c r="W12" s="201">
        <f>SUM(W9:W11)</f>
        <v>134005.77184444445</v>
      </c>
      <c r="X12" s="201">
        <f>SUM(X9:X11)</f>
        <v>138397.09128888889</v>
      </c>
      <c r="Y12" s="201">
        <f>SUM(Y9:Y11)</f>
        <v>134288.41073333335</v>
      </c>
      <c r="Z12" s="201">
        <f>SUM(Z9:Z11)</f>
        <v>134879.73017777779</v>
      </c>
      <c r="AA12" s="201">
        <f>SUM(AA9:AA11)</f>
        <v>133971.04962222223</v>
      </c>
      <c r="AB12" s="201">
        <f>SUM(AB9:AB11)</f>
        <v>1635025.5121333331</v>
      </c>
    </row>
    <row r="13" spans="1:28">
      <c r="C13" s="18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188"/>
      <c r="P13" s="188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188"/>
    </row>
    <row r="14" spans="1:28">
      <c r="A14" s="144" t="s">
        <v>132</v>
      </c>
      <c r="B14" s="127"/>
      <c r="C14" s="201">
        <f>C4-C12</f>
        <v>-44133.327008000007</v>
      </c>
      <c r="D14" s="201">
        <f>D4-D12</f>
        <v>29070.140606222209</v>
      </c>
      <c r="E14" s="201">
        <f>E4-E12</f>
        <v>28173.612828444428</v>
      </c>
      <c r="F14" s="201">
        <f>F4-F12</f>
        <v>-22.913106133331894</v>
      </c>
      <c r="G14" s="201">
        <f>G4-G12</f>
        <v>-60519.438119111132</v>
      </c>
      <c r="H14" s="201">
        <f>H4-H12</f>
        <v>28984.029495111099</v>
      </c>
      <c r="I14" s="201">
        <f>I4-I12</f>
        <v>-44012.493674666679</v>
      </c>
      <c r="J14" s="201">
        <f>J4-J12</f>
        <v>-42909.021452444445</v>
      </c>
      <c r="K14" s="201">
        <f>K4-K12</f>
        <v>96694.441553777782</v>
      </c>
      <c r="L14" s="201">
        <f>L4-L12</f>
        <v>28797.91838399999</v>
      </c>
      <c r="M14" s="201">
        <f>M4-M12</f>
        <v>-598.60755057778442</v>
      </c>
      <c r="N14" s="201">
        <f>N4-N12</f>
        <v>14704.863750044431</v>
      </c>
      <c r="O14" s="201">
        <f>O4-O12</f>
        <v>34229.205706666689</v>
      </c>
      <c r="P14" s="201">
        <f>P4-P12</f>
        <v>-45266.541493333309</v>
      </c>
      <c r="Q14" s="201">
        <f>Q4-Q12</f>
        <v>45942.133302222239</v>
      </c>
      <c r="R14" s="201">
        <f>R4-R12</f>
        <v>45050.813857777801</v>
      </c>
      <c r="S14" s="201">
        <f>S4-S12</f>
        <v>9659.4967173333571</v>
      </c>
      <c r="T14" s="201">
        <f>T4-T12</f>
        <v>-61631.819271111119</v>
      </c>
      <c r="U14" s="201">
        <f>U4-U12</f>
        <v>45876.855524444458</v>
      </c>
      <c r="V14" s="201">
        <f>V4-V12</f>
        <v>-45114.458159999966</v>
      </c>
      <c r="W14" s="201">
        <f>W4-W12</f>
        <v>-44005.777604444433</v>
      </c>
      <c r="X14" s="201">
        <f>X4-X12</f>
        <v>131602.89143111114</v>
      </c>
      <c r="Y14" s="201">
        <f>Y4-Y12</f>
        <v>45711.577746666677</v>
      </c>
      <c r="Z14" s="201">
        <f>Z4-Z12</f>
        <v>9120.260606222233</v>
      </c>
      <c r="AA14" s="201">
        <f>AA4-AA12</f>
        <v>28028.940009777783</v>
      </c>
      <c r="AB14" s="201">
        <f>AB4-AB12</f>
        <v>164974.37266666698</v>
      </c>
    </row>
    <row r="15" spans="1:28">
      <c r="A15" s="5" t="s">
        <v>133</v>
      </c>
      <c r="C15" s="188"/>
      <c r="D15" s="7"/>
      <c r="E15" s="7"/>
      <c r="F15" s="7"/>
      <c r="G15" s="7"/>
      <c r="H15" s="7"/>
      <c r="I15" s="7"/>
      <c r="J15" s="7"/>
      <c r="K15" s="7"/>
      <c r="L15" s="7"/>
      <c r="M15" s="7"/>
      <c r="N15" s="188">
        <f>IF(O14&gt;0,-O14*Annahmen!D27,0)</f>
        <v>-10927.67392185334</v>
      </c>
      <c r="O15" s="7">
        <f>SUM(C15:N15)</f>
        <v>-10927.67392185334</v>
      </c>
      <c r="P15" s="188"/>
      <c r="Q15" s="7"/>
      <c r="R15" s="7"/>
      <c r="S15" s="7"/>
      <c r="T15" s="7"/>
      <c r="U15" s="7"/>
      <c r="V15" s="7"/>
      <c r="W15" s="7"/>
      <c r="X15" s="7"/>
      <c r="Y15" s="7"/>
      <c r="Z15" s="7"/>
      <c r="AA15" s="188">
        <f>IF(AB14&gt;0,-AB14*Annahmen!D27,0)</f>
        <v>-52668.068473833431</v>
      </c>
      <c r="AB15" s="7">
        <f>SUM(P15:AA15)</f>
        <v>-52668.068473833431</v>
      </c>
    </row>
    <row r="16" spans="1:28">
      <c r="A16" s="142" t="s">
        <v>134</v>
      </c>
      <c r="B16" s="143"/>
      <c r="C16" s="202">
        <f>SUM(C14:C15)</f>
        <v>-44133.327008000007</v>
      </c>
      <c r="D16" s="202">
        <f>SUM(D14:D15)</f>
        <v>29070.140606222209</v>
      </c>
      <c r="E16" s="202">
        <f>SUM(E14:E15)</f>
        <v>28173.612828444428</v>
      </c>
      <c r="F16" s="202">
        <f>SUM(F14:F15)</f>
        <v>-22.913106133331894</v>
      </c>
      <c r="G16" s="202">
        <f>SUM(G14:G15)</f>
        <v>-60519.438119111132</v>
      </c>
      <c r="H16" s="202">
        <f>SUM(H14:H15)</f>
        <v>28984.029495111099</v>
      </c>
      <c r="I16" s="202">
        <f>SUM(I14:I15)</f>
        <v>-44012.493674666679</v>
      </c>
      <c r="J16" s="202">
        <f>SUM(J14:J15)</f>
        <v>-42909.021452444445</v>
      </c>
      <c r="K16" s="202">
        <f>SUM(K14:K15)</f>
        <v>96694.441553777782</v>
      </c>
      <c r="L16" s="202">
        <f>SUM(L14:L15)</f>
        <v>28797.91838399999</v>
      </c>
      <c r="M16" s="202">
        <f>SUM(M14:M15)</f>
        <v>-598.60755057778442</v>
      </c>
      <c r="N16" s="202">
        <f>SUM(N14:N15)</f>
        <v>3777.1898281910908</v>
      </c>
      <c r="O16" s="202">
        <f>SUM(O14:O15)</f>
        <v>23301.531784813349</v>
      </c>
      <c r="P16" s="202">
        <f>SUM(P14:P15)</f>
        <v>-45266.541493333309</v>
      </c>
      <c r="Q16" s="202">
        <f>SUM(Q14:Q15)</f>
        <v>45942.133302222239</v>
      </c>
      <c r="R16" s="202">
        <f>SUM(R14:R15)</f>
        <v>45050.813857777801</v>
      </c>
      <c r="S16" s="202">
        <f>SUM(S14:S15)</f>
        <v>9659.4967173333571</v>
      </c>
      <c r="T16" s="202">
        <f>SUM(T14:T15)</f>
        <v>-61631.819271111119</v>
      </c>
      <c r="U16" s="202">
        <f>SUM(U14:U15)</f>
        <v>45876.855524444458</v>
      </c>
      <c r="V16" s="202">
        <f>SUM(V14:V15)</f>
        <v>-45114.458159999966</v>
      </c>
      <c r="W16" s="202">
        <f>SUM(W14:W15)</f>
        <v>-44005.777604444433</v>
      </c>
      <c r="X16" s="202">
        <f>SUM(X14:X15)</f>
        <v>131602.89143111114</v>
      </c>
      <c r="Y16" s="202">
        <f>SUM(Y14:Y15)</f>
        <v>45711.577746666677</v>
      </c>
      <c r="Z16" s="202">
        <f>SUM(Z14:Z15)</f>
        <v>9120.260606222233</v>
      </c>
      <c r="AA16" s="202">
        <f>SUM(AA14:AA15)</f>
        <v>-24639.128464055648</v>
      </c>
      <c r="AB16" s="202">
        <f>SUM(AB14:AB15)</f>
        <v>112306.30419283354</v>
      </c>
    </row>
    <row r="17" spans="1:28">
      <c r="A17" s="132" t="s">
        <v>135</v>
      </c>
      <c r="B17" s="133"/>
      <c r="C17" s="138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8"/>
      <c r="P17" s="138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8"/>
    </row>
    <row r="18" spans="1:28" ht="15" customHeight="1">
      <c r="A18" s="134" t="s">
        <v>136</v>
      </c>
      <c r="B18" s="91"/>
      <c r="C18" s="187">
        <f>C14</f>
        <v>-44133.327008000007</v>
      </c>
      <c r="D18" s="92">
        <f>D14</f>
        <v>29070.140606222209</v>
      </c>
      <c r="E18" s="92">
        <f t="shared" ref="E18:AB18" si="0">E14</f>
        <v>28173.612828444428</v>
      </c>
      <c r="F18" s="92">
        <f t="shared" si="0"/>
        <v>-22.913106133331894</v>
      </c>
      <c r="G18" s="92">
        <f t="shared" si="0"/>
        <v>-60519.438119111132</v>
      </c>
      <c r="H18" s="92">
        <f t="shared" si="0"/>
        <v>28984.029495111099</v>
      </c>
      <c r="I18" s="92">
        <f t="shared" si="0"/>
        <v>-44012.493674666679</v>
      </c>
      <c r="J18" s="92">
        <f t="shared" si="0"/>
        <v>-42909.021452444445</v>
      </c>
      <c r="K18" s="92">
        <f t="shared" si="0"/>
        <v>96694.441553777782</v>
      </c>
      <c r="L18" s="92">
        <f t="shared" si="0"/>
        <v>28797.91838399999</v>
      </c>
      <c r="M18" s="92">
        <f t="shared" si="0"/>
        <v>-598.60755057778442</v>
      </c>
      <c r="N18" s="92">
        <f t="shared" si="0"/>
        <v>14704.863750044431</v>
      </c>
      <c r="O18" s="187">
        <f t="shared" si="0"/>
        <v>34229.205706666689</v>
      </c>
      <c r="P18" s="187">
        <f t="shared" si="0"/>
        <v>-45266.541493333309</v>
      </c>
      <c r="Q18" s="92">
        <f t="shared" si="0"/>
        <v>45942.133302222239</v>
      </c>
      <c r="R18" s="92">
        <f t="shared" si="0"/>
        <v>45050.813857777801</v>
      </c>
      <c r="S18" s="92">
        <f t="shared" si="0"/>
        <v>9659.4967173333571</v>
      </c>
      <c r="T18" s="92">
        <f t="shared" si="0"/>
        <v>-61631.819271111119</v>
      </c>
      <c r="U18" s="92">
        <f t="shared" si="0"/>
        <v>45876.855524444458</v>
      </c>
      <c r="V18" s="92">
        <f t="shared" si="0"/>
        <v>-45114.458159999966</v>
      </c>
      <c r="W18" s="92">
        <f t="shared" si="0"/>
        <v>-44005.777604444433</v>
      </c>
      <c r="X18" s="92">
        <f t="shared" si="0"/>
        <v>131602.89143111114</v>
      </c>
      <c r="Y18" s="92">
        <f t="shared" si="0"/>
        <v>45711.577746666677</v>
      </c>
      <c r="Z18" s="92">
        <f t="shared" si="0"/>
        <v>9120.260606222233</v>
      </c>
      <c r="AA18" s="92">
        <f t="shared" si="0"/>
        <v>28028.940009777783</v>
      </c>
      <c r="AB18" s="187">
        <f t="shared" si="0"/>
        <v>164974.37266666698</v>
      </c>
    </row>
    <row r="19" spans="1:28">
      <c r="B19" t="s">
        <v>137</v>
      </c>
      <c r="C19" s="188"/>
      <c r="D19" s="7"/>
      <c r="E19" s="7">
        <f>$N$15/4</f>
        <v>-2731.9184804633351</v>
      </c>
      <c r="F19" s="7"/>
      <c r="G19" s="7"/>
      <c r="H19" s="7">
        <f>$N$15/4</f>
        <v>-2731.9184804633351</v>
      </c>
      <c r="I19" s="7"/>
      <c r="J19" s="7"/>
      <c r="K19" s="7">
        <f>$N$15/4</f>
        <v>-2731.9184804633351</v>
      </c>
      <c r="L19" s="7"/>
      <c r="M19" s="7"/>
      <c r="N19" s="7">
        <f>$N$15/4</f>
        <v>-2731.9184804633351</v>
      </c>
      <c r="O19" s="188">
        <f>N15</f>
        <v>-10927.67392185334</v>
      </c>
      <c r="P19" s="188"/>
      <c r="Q19" s="7"/>
      <c r="R19" s="7">
        <f>$AB$15/4</f>
        <v>-13167.017118458358</v>
      </c>
      <c r="S19" s="7"/>
      <c r="T19" s="7"/>
      <c r="U19" s="7">
        <f>$AB$15/4</f>
        <v>-13167.017118458358</v>
      </c>
      <c r="V19" s="7"/>
      <c r="W19" s="7"/>
      <c r="X19" s="7">
        <f>$AB$15/4</f>
        <v>-13167.017118458358</v>
      </c>
      <c r="Y19" s="7"/>
      <c r="Z19" s="7"/>
      <c r="AA19" s="7">
        <f>$AB$15/4</f>
        <v>-13167.017118458358</v>
      </c>
      <c r="AB19" s="188">
        <f>AB15</f>
        <v>-52668.068473833431</v>
      </c>
    </row>
    <row r="20" spans="1:28">
      <c r="A20" s="40"/>
      <c r="B20" s="40" t="s">
        <v>89</v>
      </c>
      <c r="C20" s="188">
        <f>Investitionen!E19</f>
        <v>1500</v>
      </c>
      <c r="D20" s="189">
        <f>Investitionen!F19</f>
        <v>1500</v>
      </c>
      <c r="E20" s="189">
        <f>Investitionen!G19</f>
        <v>1500</v>
      </c>
      <c r="F20" s="189">
        <f>Investitionen!H19</f>
        <v>1500</v>
      </c>
      <c r="G20" s="189">
        <f>Investitionen!I19</f>
        <v>1500</v>
      </c>
      <c r="H20" s="189">
        <f>Investitionen!J19</f>
        <v>1500</v>
      </c>
      <c r="I20" s="189">
        <f>Investitionen!K19</f>
        <v>1500</v>
      </c>
      <c r="J20" s="189">
        <f>Investitionen!L19</f>
        <v>1500</v>
      </c>
      <c r="K20" s="189">
        <f>Investitionen!M19</f>
        <v>1500</v>
      </c>
      <c r="L20" s="189">
        <f>Investitionen!N19</f>
        <v>1500</v>
      </c>
      <c r="M20" s="189">
        <f>Investitionen!O19</f>
        <v>1500</v>
      </c>
      <c r="N20" s="189">
        <f>Investitionen!P19</f>
        <v>1500</v>
      </c>
      <c r="O20" s="188">
        <f>Investitionen!Q19</f>
        <v>18000</v>
      </c>
      <c r="P20" s="188">
        <f>Investitionen!R19</f>
        <v>2000</v>
      </c>
      <c r="Q20" s="189">
        <f>Investitionen!S19</f>
        <v>2000</v>
      </c>
      <c r="R20" s="189">
        <f>Investitionen!T19</f>
        <v>2000</v>
      </c>
      <c r="S20" s="189">
        <f>Investitionen!U19</f>
        <v>2000</v>
      </c>
      <c r="T20" s="189">
        <f>Investitionen!V19</f>
        <v>2000</v>
      </c>
      <c r="U20" s="189">
        <f>Investitionen!W19</f>
        <v>2000</v>
      </c>
      <c r="V20" s="189">
        <f>Investitionen!X19</f>
        <v>2000</v>
      </c>
      <c r="W20" s="189">
        <f>Investitionen!Y19</f>
        <v>2000</v>
      </c>
      <c r="X20" s="189">
        <f>Investitionen!Z19</f>
        <v>2000</v>
      </c>
      <c r="Y20" s="189">
        <f>Investitionen!AA19</f>
        <v>2000</v>
      </c>
      <c r="Z20" s="189">
        <f>Investitionen!AB19</f>
        <v>2000</v>
      </c>
      <c r="AA20" s="189">
        <f>Investitionen!AC19</f>
        <v>2000</v>
      </c>
      <c r="AB20" s="188">
        <f>Investitionen!AD19</f>
        <v>24000</v>
      </c>
    </row>
    <row r="21" spans="1:28" ht="15" customHeight="1">
      <c r="A21" s="135" t="s">
        <v>138</v>
      </c>
      <c r="B21" s="90"/>
      <c r="C21" s="187">
        <f>SUM(C18:C20)</f>
        <v>-42633.327008000007</v>
      </c>
      <c r="D21" s="92">
        <f>SUM(D18:D20)</f>
        <v>30570.140606222209</v>
      </c>
      <c r="E21" s="92">
        <f t="shared" ref="E21:AB21" si="1">SUM(E18:E20)</f>
        <v>26941.694347981094</v>
      </c>
      <c r="F21" s="92">
        <f t="shared" si="1"/>
        <v>1477.0868938666681</v>
      </c>
      <c r="G21" s="92">
        <f t="shared" si="1"/>
        <v>-59019.438119111132</v>
      </c>
      <c r="H21" s="92">
        <f t="shared" si="1"/>
        <v>27752.111014647766</v>
      </c>
      <c r="I21" s="92">
        <f t="shared" si="1"/>
        <v>-42512.493674666679</v>
      </c>
      <c r="J21" s="92">
        <f t="shared" si="1"/>
        <v>-41409.021452444445</v>
      </c>
      <c r="K21" s="92">
        <f t="shared" si="1"/>
        <v>95462.523073314442</v>
      </c>
      <c r="L21" s="92">
        <f t="shared" si="1"/>
        <v>30297.91838399999</v>
      </c>
      <c r="M21" s="92">
        <f t="shared" si="1"/>
        <v>901.39244942221558</v>
      </c>
      <c r="N21" s="92">
        <f t="shared" si="1"/>
        <v>13472.945269581096</v>
      </c>
      <c r="O21" s="187">
        <f t="shared" si="1"/>
        <v>41301.531784813349</v>
      </c>
      <c r="P21" s="187">
        <f t="shared" si="1"/>
        <v>-43266.541493333309</v>
      </c>
      <c r="Q21" s="92">
        <f t="shared" si="1"/>
        <v>47942.133302222239</v>
      </c>
      <c r="R21" s="92">
        <f t="shared" si="1"/>
        <v>33883.796739319441</v>
      </c>
      <c r="S21" s="92">
        <f t="shared" si="1"/>
        <v>11659.496717333357</v>
      </c>
      <c r="T21" s="92">
        <f t="shared" si="1"/>
        <v>-59631.819271111119</v>
      </c>
      <c r="U21" s="92">
        <f t="shared" si="1"/>
        <v>34709.838405986098</v>
      </c>
      <c r="V21" s="92">
        <f t="shared" si="1"/>
        <v>-43114.458159999966</v>
      </c>
      <c r="W21" s="92">
        <f t="shared" si="1"/>
        <v>-42005.777604444433</v>
      </c>
      <c r="X21" s="92">
        <f t="shared" si="1"/>
        <v>120435.87431265278</v>
      </c>
      <c r="Y21" s="92">
        <f t="shared" si="1"/>
        <v>47711.577746666677</v>
      </c>
      <c r="Z21" s="92">
        <f t="shared" si="1"/>
        <v>11120.260606222233</v>
      </c>
      <c r="AA21" s="92">
        <f t="shared" si="1"/>
        <v>16861.922891319424</v>
      </c>
      <c r="AB21" s="187">
        <f t="shared" si="1"/>
        <v>136306.30419283354</v>
      </c>
    </row>
    <row r="22" spans="1:28">
      <c r="A22" s="40"/>
      <c r="B22" s="40" t="s">
        <v>139</v>
      </c>
      <c r="C22" s="190">
        <f>-Investitionen!E20</f>
        <v>-104000</v>
      </c>
      <c r="D22" s="189">
        <f>-Investitionen!F20</f>
        <v>0</v>
      </c>
      <c r="E22" s="189">
        <f>-Investitionen!G20</f>
        <v>0</v>
      </c>
      <c r="F22" s="189">
        <f>-Investitionen!H20</f>
        <v>0</v>
      </c>
      <c r="G22" s="189">
        <f>-Investitionen!I20</f>
        <v>0</v>
      </c>
      <c r="H22" s="189">
        <f>-Investitionen!J20</f>
        <v>0</v>
      </c>
      <c r="I22" s="189">
        <f>-Investitionen!K20</f>
        <v>0</v>
      </c>
      <c r="J22" s="189">
        <f>-Investitionen!L20</f>
        <v>0</v>
      </c>
      <c r="K22" s="189">
        <f>-Investitionen!M20</f>
        <v>0</v>
      </c>
      <c r="L22" s="189">
        <f>-Investitionen!N20</f>
        <v>0</v>
      </c>
      <c r="M22" s="189">
        <f>-Investitionen!O20</f>
        <v>0</v>
      </c>
      <c r="N22" s="189">
        <f>-Investitionen!P20</f>
        <v>0</v>
      </c>
      <c r="O22" s="188">
        <f>-Investitionen!Q20</f>
        <v>-104000</v>
      </c>
      <c r="P22" s="188">
        <f>-Investitionen!R20</f>
        <v>-30000</v>
      </c>
      <c r="Q22" s="189">
        <f>-Investitionen!S20</f>
        <v>0</v>
      </c>
      <c r="R22" s="189">
        <f>-Investitionen!T20</f>
        <v>0</v>
      </c>
      <c r="S22" s="189">
        <f>-Investitionen!U20</f>
        <v>0</v>
      </c>
      <c r="T22" s="189">
        <f>-Investitionen!V20</f>
        <v>0</v>
      </c>
      <c r="U22" s="189">
        <f>-Investitionen!W20</f>
        <v>0</v>
      </c>
      <c r="V22" s="189">
        <f>-Investitionen!X20</f>
        <v>0</v>
      </c>
      <c r="W22" s="189">
        <f>-Investitionen!Y20</f>
        <v>0</v>
      </c>
      <c r="X22" s="189">
        <f>-Investitionen!Z20</f>
        <v>0</v>
      </c>
      <c r="Y22" s="189">
        <f>-Investitionen!AA20</f>
        <v>0</v>
      </c>
      <c r="Z22" s="189">
        <f>-Investitionen!AB20</f>
        <v>0</v>
      </c>
      <c r="AA22" s="189">
        <f>-Investitionen!AC20</f>
        <v>0</v>
      </c>
      <c r="AB22" s="188">
        <f>-Investitionen!AD20</f>
        <v>-30000</v>
      </c>
    </row>
    <row r="23" spans="1:28">
      <c r="A23" s="134" t="s">
        <v>140</v>
      </c>
      <c r="B23" s="90"/>
      <c r="C23" s="191">
        <f>SUM(C22)</f>
        <v>-104000</v>
      </c>
      <c r="D23" s="92">
        <f>SUM(D22)</f>
        <v>0</v>
      </c>
      <c r="E23" s="92">
        <f t="shared" ref="E23:O23" si="2">SUM(E22)</f>
        <v>0</v>
      </c>
      <c r="F23" s="92">
        <f t="shared" si="2"/>
        <v>0</v>
      </c>
      <c r="G23" s="92">
        <f t="shared" si="2"/>
        <v>0</v>
      </c>
      <c r="H23" s="92">
        <f t="shared" si="2"/>
        <v>0</v>
      </c>
      <c r="I23" s="92">
        <f t="shared" si="2"/>
        <v>0</v>
      </c>
      <c r="J23" s="92">
        <f t="shared" si="2"/>
        <v>0</v>
      </c>
      <c r="K23" s="92">
        <f t="shared" si="2"/>
        <v>0</v>
      </c>
      <c r="L23" s="92">
        <f t="shared" si="2"/>
        <v>0</v>
      </c>
      <c r="M23" s="92">
        <f t="shared" si="2"/>
        <v>0</v>
      </c>
      <c r="N23" s="92">
        <f>SUM(N22)</f>
        <v>0</v>
      </c>
      <c r="O23" s="187">
        <f t="shared" si="2"/>
        <v>-104000</v>
      </c>
      <c r="P23" s="187">
        <f>SUM(P22)</f>
        <v>-30000</v>
      </c>
      <c r="Q23" s="92">
        <f>SUM(Q22)</f>
        <v>0</v>
      </c>
      <c r="R23" s="92">
        <f t="shared" ref="R23:AB23" si="3">SUM(R22)</f>
        <v>0</v>
      </c>
      <c r="S23" s="92">
        <f t="shared" si="3"/>
        <v>0</v>
      </c>
      <c r="T23" s="92">
        <f t="shared" si="3"/>
        <v>0</v>
      </c>
      <c r="U23" s="92">
        <f t="shared" si="3"/>
        <v>0</v>
      </c>
      <c r="V23" s="92">
        <f t="shared" si="3"/>
        <v>0</v>
      </c>
      <c r="W23" s="92">
        <f t="shared" si="3"/>
        <v>0</v>
      </c>
      <c r="X23" s="92">
        <f t="shared" si="3"/>
        <v>0</v>
      </c>
      <c r="Y23" s="92">
        <f t="shared" si="3"/>
        <v>0</v>
      </c>
      <c r="Z23" s="92">
        <f t="shared" si="3"/>
        <v>0</v>
      </c>
      <c r="AA23" s="92">
        <f t="shared" si="3"/>
        <v>0</v>
      </c>
      <c r="AB23" s="92">
        <f t="shared" si="3"/>
        <v>-30000</v>
      </c>
    </row>
    <row r="24" spans="1:28">
      <c r="B24" t="s">
        <v>141</v>
      </c>
      <c r="C24" s="188">
        <f>SUM(Annahmen!G7:G8)</f>
        <v>60000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188">
        <f>SUM('GuV und Liquidität'!C24:N24)</f>
        <v>60000</v>
      </c>
      <c r="P24" s="188">
        <f>SUM(Annahmen!I7:I8)</f>
        <v>90000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188">
        <f>SUM(P24:AA24)</f>
        <v>90000</v>
      </c>
    </row>
    <row r="25" spans="1:28">
      <c r="B25" t="s">
        <v>142</v>
      </c>
      <c r="C25" s="192">
        <f>-Kredit!C21</f>
        <v>-833.33333333333337</v>
      </c>
      <c r="D25" s="188">
        <f>-Kredit!D21</f>
        <v>-833.33333333333337</v>
      </c>
      <c r="E25" s="188">
        <f>-Kredit!E21</f>
        <v>-833.33333333333337</v>
      </c>
      <c r="F25" s="188">
        <f>-Kredit!F21</f>
        <v>-833.33333333333337</v>
      </c>
      <c r="G25" s="188">
        <f>-Kredit!G21</f>
        <v>-833.33333333333337</v>
      </c>
      <c r="H25" s="188">
        <f>-Kredit!H21</f>
        <v>-833.33333333333337</v>
      </c>
      <c r="I25" s="188">
        <f>-Kredit!I21</f>
        <v>-833.33333333333337</v>
      </c>
      <c r="J25" s="188">
        <f>-Kredit!J21</f>
        <v>-833.33333333333337</v>
      </c>
      <c r="K25" s="188">
        <f>-Kredit!K21</f>
        <v>-833.33333333333337</v>
      </c>
      <c r="L25" s="188">
        <f>-Kredit!L21</f>
        <v>-833.33333333333337</v>
      </c>
      <c r="M25" s="188">
        <f>-Kredit!M21</f>
        <v>-833.33333333333337</v>
      </c>
      <c r="N25" s="188">
        <f>-Kredit!N21</f>
        <v>-833.33333333333337</v>
      </c>
      <c r="O25" s="188">
        <f>-Kredit!O21</f>
        <v>-10000</v>
      </c>
      <c r="P25" s="188">
        <f>-Kredit!P21</f>
        <v>-2083.3333333333335</v>
      </c>
      <c r="Q25" s="188">
        <f>-Kredit!Q21</f>
        <v>-2083.3333333333335</v>
      </c>
      <c r="R25" s="188">
        <f>-Kredit!R21</f>
        <v>-2083.3333333333335</v>
      </c>
      <c r="S25" s="188">
        <f>-Kredit!S21</f>
        <v>-2083.3333333333335</v>
      </c>
      <c r="T25" s="188">
        <f>-Kredit!T21</f>
        <v>-2083.3333333333335</v>
      </c>
      <c r="U25" s="188">
        <f>-Kredit!U21</f>
        <v>-2083.3333333333335</v>
      </c>
      <c r="V25" s="188">
        <f>-Kredit!V21</f>
        <v>-2083.3333333333335</v>
      </c>
      <c r="W25" s="188">
        <f>-Kredit!W21</f>
        <v>-2083.3333333333335</v>
      </c>
      <c r="X25" s="188">
        <f>-Kredit!X21</f>
        <v>-2083.3333333333335</v>
      </c>
      <c r="Y25" s="188">
        <f>-Kredit!Y21</f>
        <v>-2083.3333333333335</v>
      </c>
      <c r="Z25" s="188">
        <f>-Kredit!Z21</f>
        <v>-2083.3333333333335</v>
      </c>
      <c r="AA25" s="188">
        <f>-Kredit!AA21</f>
        <v>-2083.3333333333335</v>
      </c>
      <c r="AB25" s="188">
        <f>-Kredit!AB21</f>
        <v>-25000</v>
      </c>
    </row>
    <row r="26" spans="1:28">
      <c r="A26" s="134" t="s">
        <v>143</v>
      </c>
      <c r="B26" s="90"/>
      <c r="C26" s="201">
        <f>SUM(C24:C25)</f>
        <v>59166.666666666664</v>
      </c>
      <c r="D26" s="92">
        <f>SUM(D24:D25)</f>
        <v>-833.33333333333337</v>
      </c>
      <c r="E26" s="92">
        <f t="shared" ref="E26:N26" si="4">SUM(E24:E25)</f>
        <v>-833.33333333333337</v>
      </c>
      <c r="F26" s="92">
        <f t="shared" si="4"/>
        <v>-833.33333333333337</v>
      </c>
      <c r="G26" s="92">
        <f t="shared" si="4"/>
        <v>-833.33333333333337</v>
      </c>
      <c r="H26" s="92">
        <f t="shared" si="4"/>
        <v>-833.33333333333337</v>
      </c>
      <c r="I26" s="92">
        <f t="shared" si="4"/>
        <v>-833.33333333333337</v>
      </c>
      <c r="J26" s="92">
        <f t="shared" si="4"/>
        <v>-833.33333333333337</v>
      </c>
      <c r="K26" s="92">
        <f t="shared" si="4"/>
        <v>-833.33333333333337</v>
      </c>
      <c r="L26" s="92">
        <f t="shared" si="4"/>
        <v>-833.33333333333337</v>
      </c>
      <c r="M26" s="92">
        <f t="shared" si="4"/>
        <v>-833.33333333333337</v>
      </c>
      <c r="N26" s="92">
        <f t="shared" si="4"/>
        <v>-833.33333333333337</v>
      </c>
      <c r="O26" s="187">
        <f>SUM(O24:O25)</f>
        <v>50000</v>
      </c>
      <c r="P26" s="187">
        <f>SUM(P24:P25)</f>
        <v>87916.666666666672</v>
      </c>
      <c r="Q26" s="92">
        <f>SUM(Q24:Q25)</f>
        <v>-2083.3333333333335</v>
      </c>
      <c r="R26" s="92">
        <f t="shared" ref="R26:AB26" si="5">SUM(R24:R25)</f>
        <v>-2083.3333333333335</v>
      </c>
      <c r="S26" s="92">
        <f t="shared" si="5"/>
        <v>-2083.3333333333335</v>
      </c>
      <c r="T26" s="92">
        <f t="shared" si="5"/>
        <v>-2083.3333333333335</v>
      </c>
      <c r="U26" s="92">
        <f t="shared" si="5"/>
        <v>-2083.3333333333335</v>
      </c>
      <c r="V26" s="92">
        <f t="shared" si="5"/>
        <v>-2083.3333333333335</v>
      </c>
      <c r="W26" s="92">
        <f t="shared" si="5"/>
        <v>-2083.3333333333335</v>
      </c>
      <c r="X26" s="92">
        <f t="shared" si="5"/>
        <v>-2083.3333333333335</v>
      </c>
      <c r="Y26" s="92">
        <f t="shared" si="5"/>
        <v>-2083.3333333333335</v>
      </c>
      <c r="Z26" s="92">
        <f t="shared" si="5"/>
        <v>-2083.3333333333335</v>
      </c>
      <c r="AA26" s="92">
        <f t="shared" si="5"/>
        <v>-2083.3333333333335</v>
      </c>
      <c r="AB26" s="187">
        <f t="shared" si="5"/>
        <v>65000</v>
      </c>
    </row>
    <row r="27" spans="1:28">
      <c r="B27" t="s">
        <v>144</v>
      </c>
      <c r="C27" s="188">
        <f>C26+C23+C21</f>
        <v>-87466.660341333336</v>
      </c>
      <c r="D27" s="7">
        <f>D21+D23+D26</f>
        <v>29736.807272888876</v>
      </c>
      <c r="E27" s="7">
        <f t="shared" ref="E27:AB27" si="6">E21+E23+E26</f>
        <v>26108.361014647762</v>
      </c>
      <c r="F27" s="7">
        <f t="shared" si="6"/>
        <v>643.75356053333473</v>
      </c>
      <c r="G27" s="7">
        <f t="shared" si="6"/>
        <v>-59852.771452444467</v>
      </c>
      <c r="H27" s="7">
        <f t="shared" si="6"/>
        <v>26918.777681314434</v>
      </c>
      <c r="I27" s="7">
        <f t="shared" si="6"/>
        <v>-43345.827008000015</v>
      </c>
      <c r="J27" s="7">
        <f t="shared" si="6"/>
        <v>-42242.354785777781</v>
      </c>
      <c r="K27" s="7">
        <f t="shared" si="6"/>
        <v>94629.189739981113</v>
      </c>
      <c r="L27" s="7">
        <f t="shared" si="6"/>
        <v>29464.585050666657</v>
      </c>
      <c r="M27" s="7">
        <f t="shared" si="6"/>
        <v>68.059116088882206</v>
      </c>
      <c r="N27" s="7">
        <f>N21+N23+N26</f>
        <v>12639.611936247762</v>
      </c>
      <c r="O27" s="188">
        <f>O21+O23+O26</f>
        <v>-12698.468215186651</v>
      </c>
      <c r="P27" s="188">
        <f t="shared" si="6"/>
        <v>14650.125173333363</v>
      </c>
      <c r="Q27" s="7">
        <f t="shared" si="6"/>
        <v>45858.799968888903</v>
      </c>
      <c r="R27" s="7">
        <f t="shared" si="6"/>
        <v>31800.463405986109</v>
      </c>
      <c r="S27" s="7">
        <f t="shared" si="6"/>
        <v>9576.1633840000231</v>
      </c>
      <c r="T27" s="7">
        <f t="shared" si="6"/>
        <v>-61715.152604444454</v>
      </c>
      <c r="U27" s="7">
        <f t="shared" si="6"/>
        <v>32626.505072652766</v>
      </c>
      <c r="V27" s="7">
        <f t="shared" si="6"/>
        <v>-45197.791493333301</v>
      </c>
      <c r="W27" s="7">
        <f t="shared" si="6"/>
        <v>-44089.110937777768</v>
      </c>
      <c r="X27" s="7">
        <f t="shared" si="6"/>
        <v>118352.54097931946</v>
      </c>
      <c r="Y27" s="7">
        <f t="shared" si="6"/>
        <v>45628.244413333341</v>
      </c>
      <c r="Z27" s="7">
        <f t="shared" si="6"/>
        <v>9036.9272728888991</v>
      </c>
      <c r="AA27" s="7">
        <f t="shared" si="6"/>
        <v>14778.58955798609</v>
      </c>
      <c r="AB27" s="188">
        <f t="shared" si="6"/>
        <v>171306.30419283354</v>
      </c>
    </row>
    <row r="28" spans="1:28">
      <c r="A28" s="134" t="s">
        <v>145</v>
      </c>
      <c r="B28" s="90"/>
      <c r="C28" s="187">
        <f>C27</f>
        <v>-87466.660341333336</v>
      </c>
      <c r="D28" s="92">
        <f>C28+D27</f>
        <v>-57729.853068444456</v>
      </c>
      <c r="E28" s="92">
        <f>D28+E27</f>
        <v>-31621.492053796694</v>
      </c>
      <c r="F28" s="92">
        <f>E28+F27</f>
        <v>-30977.738493263358</v>
      </c>
      <c r="G28" s="92">
        <f>F28+G27</f>
        <v>-90830.509945707832</v>
      </c>
      <c r="H28" s="92">
        <f>G28+H27</f>
        <v>-63911.732264393402</v>
      </c>
      <c r="I28" s="92">
        <f>H28+I27</f>
        <v>-107257.55927239341</v>
      </c>
      <c r="J28" s="92">
        <f>I28+J27</f>
        <v>-149499.91405817118</v>
      </c>
      <c r="K28" s="92">
        <f>J28+K27</f>
        <v>-54870.72431819007</v>
      </c>
      <c r="L28" s="92">
        <f>K28+L27</f>
        <v>-25406.139267523413</v>
      </c>
      <c r="M28" s="92">
        <f>L28+M27</f>
        <v>-25338.080151434529</v>
      </c>
      <c r="N28" s="92">
        <f>M28+N27</f>
        <v>-12698.468215186767</v>
      </c>
      <c r="O28" s="187">
        <f>N28</f>
        <v>-12698.468215186767</v>
      </c>
      <c r="P28" s="187">
        <f>P27</f>
        <v>14650.125173333363</v>
      </c>
      <c r="Q28" s="92">
        <f>P28+Q27</f>
        <v>60508.925142222266</v>
      </c>
      <c r="R28" s="92">
        <f>Q28+R27</f>
        <v>92309.388548208372</v>
      </c>
      <c r="S28" s="92">
        <f>R28+S27</f>
        <v>101885.5519322084</v>
      </c>
      <c r="T28" s="92">
        <f>S28+T27</f>
        <v>40170.399327763946</v>
      </c>
      <c r="U28" s="92">
        <f>T28+U27</f>
        <v>72796.904400416708</v>
      </c>
      <c r="V28" s="92">
        <f>U28+V27</f>
        <v>27599.112907083407</v>
      </c>
      <c r="W28" s="92">
        <f>V28+W27</f>
        <v>-16489.998030694362</v>
      </c>
      <c r="X28" s="92">
        <f>W28+X27</f>
        <v>101862.54294862509</v>
      </c>
      <c r="Y28" s="92">
        <f>X28+Y27</f>
        <v>147490.78736195844</v>
      </c>
      <c r="Z28" s="92">
        <f>Y28+Z27</f>
        <v>156527.71463484733</v>
      </c>
      <c r="AA28" s="92">
        <f>Z28+AA27</f>
        <v>171306.30419283343</v>
      </c>
      <c r="AB28" s="187">
        <f>AA28</f>
        <v>171306.30419283343</v>
      </c>
    </row>
    <row r="29" spans="1:28">
      <c r="A29" s="41"/>
      <c r="B29" s="41" t="s">
        <v>146</v>
      </c>
      <c r="C29" s="192">
        <f>Annahmen!D82</f>
        <v>100000</v>
      </c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192">
        <f>SUM(C29:N29)</f>
        <v>100000</v>
      </c>
      <c r="P29" s="192">
        <f>O30</f>
        <v>87301.53178481324</v>
      </c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192">
        <f>SUM(P29:AA29)</f>
        <v>87301.53178481324</v>
      </c>
    </row>
    <row r="30" spans="1:28">
      <c r="A30" s="136" t="s">
        <v>147</v>
      </c>
      <c r="B30" s="137"/>
      <c r="C30" s="193">
        <f>$C$29+C28</f>
        <v>12533.339658666664</v>
      </c>
      <c r="D30" s="193">
        <f>$C$29+D28</f>
        <v>42270.146931555544</v>
      </c>
      <c r="E30" s="193">
        <f>$C$29+E28</f>
        <v>68378.507946203303</v>
      </c>
      <c r="F30" s="193">
        <f>$C$29+F28</f>
        <v>69022.261506736642</v>
      </c>
      <c r="G30" s="193">
        <f>$C$29+G28</f>
        <v>9169.4900542921678</v>
      </c>
      <c r="H30" s="193">
        <f>$C$29+H28</f>
        <v>36088.267735606598</v>
      </c>
      <c r="I30" s="193">
        <f>$C$29+I28</f>
        <v>-7257.5592723934096</v>
      </c>
      <c r="J30" s="193">
        <f>$C$29+J28</f>
        <v>-49499.914058171184</v>
      </c>
      <c r="K30" s="193">
        <f>$C$29+K28</f>
        <v>45129.27568180993</v>
      </c>
      <c r="L30" s="193">
        <f>$C$29+L28</f>
        <v>74593.860732476591</v>
      </c>
      <c r="M30" s="193">
        <f>$C$29+M28</f>
        <v>74661.919848565478</v>
      </c>
      <c r="N30" s="193">
        <f>$C$29+N28</f>
        <v>87301.53178481324</v>
      </c>
      <c r="O30" s="193">
        <f>O29+O28</f>
        <v>87301.53178481324</v>
      </c>
      <c r="P30" s="193">
        <f>$P$29+P28</f>
        <v>101951.6569581466</v>
      </c>
      <c r="Q30" s="193">
        <f>$P$29+Q28</f>
        <v>147810.4569270355</v>
      </c>
      <c r="R30" s="193">
        <f>$P$29+R28</f>
        <v>179610.92033302161</v>
      </c>
      <c r="S30" s="193">
        <f>$P$29+S28</f>
        <v>189187.08371702163</v>
      </c>
      <c r="T30" s="193">
        <f>$P$29+T28</f>
        <v>127471.93111257718</v>
      </c>
      <c r="U30" s="193">
        <f>$P$29+U28</f>
        <v>160098.43618522995</v>
      </c>
      <c r="V30" s="193">
        <f>$P$29+V28</f>
        <v>114900.64469189665</v>
      </c>
      <c r="W30" s="193">
        <f>$P$29+W28</f>
        <v>70811.533754118878</v>
      </c>
      <c r="X30" s="193">
        <f>$P$29+X28</f>
        <v>189164.07473343832</v>
      </c>
      <c r="Y30" s="193">
        <f>$P$29+Y28</f>
        <v>234792.31914677168</v>
      </c>
      <c r="Z30" s="193">
        <f>$P$29+Z28</f>
        <v>243829.24641966057</v>
      </c>
      <c r="AA30" s="193">
        <f>$P$29+AA28</f>
        <v>258607.83597764667</v>
      </c>
      <c r="AB30" s="193">
        <f>AB28+AB29</f>
        <v>258607.83597764667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6683-ABD3-4059-8C37-C717730CF6AA}">
  <sheetPr>
    <tabColor rgb="FF92D050"/>
  </sheetPr>
  <dimension ref="A1:E23"/>
  <sheetViews>
    <sheetView topLeftCell="A5" workbookViewId="0">
      <selection activeCell="E18" sqref="E18"/>
    </sheetView>
  </sheetViews>
  <sheetFormatPr defaultRowHeight="15"/>
  <cols>
    <col min="1" max="1" width="6.140625" customWidth="1"/>
    <col min="2" max="2" width="34.42578125" customWidth="1"/>
    <col min="3" max="3" width="20.5703125" customWidth="1"/>
    <col min="4" max="4" width="18.7109375" customWidth="1"/>
    <col min="5" max="5" width="15.42578125" customWidth="1"/>
  </cols>
  <sheetData>
    <row r="1" spans="1:5">
      <c r="A1" s="126" t="s">
        <v>148</v>
      </c>
      <c r="C1" s="23">
        <v>2024</v>
      </c>
      <c r="D1" s="23">
        <v>2025</v>
      </c>
      <c r="E1" s="23">
        <v>2026</v>
      </c>
    </row>
    <row r="2" spans="1:5">
      <c r="C2">
        <v>12</v>
      </c>
      <c r="D2">
        <v>12</v>
      </c>
      <c r="E2">
        <v>12</v>
      </c>
    </row>
    <row r="3" spans="1:5">
      <c r="A3" s="5" t="s">
        <v>149</v>
      </c>
    </row>
    <row r="4" spans="1:5">
      <c r="B4" t="s">
        <v>150</v>
      </c>
      <c r="C4" s="154">
        <v>0</v>
      </c>
      <c r="D4" s="154">
        <f>Investitionen!B13-Investitionen!Q13</f>
        <v>26000</v>
      </c>
      <c r="E4" s="154">
        <f>Investitionen!B13-Investitionen!Q13-Investitionen!AD13</f>
        <v>13000</v>
      </c>
    </row>
    <row r="5" spans="1:5">
      <c r="B5" t="s">
        <v>93</v>
      </c>
      <c r="C5" s="154">
        <v>0</v>
      </c>
      <c r="D5" s="154">
        <v>0</v>
      </c>
      <c r="E5" s="154">
        <f>Investitionen!B14-Investitionen!AD14</f>
        <v>24000</v>
      </c>
    </row>
    <row r="6" spans="1:5">
      <c r="B6" t="s">
        <v>91</v>
      </c>
      <c r="C6" s="154">
        <v>0</v>
      </c>
      <c r="D6" s="154">
        <f>Investitionen!B7-Investitionen!Q7</f>
        <v>60000</v>
      </c>
      <c r="E6" s="154">
        <f>Investitionen!B7-Investitionen!Q7-Investitionen!AD7</f>
        <v>55000</v>
      </c>
    </row>
    <row r="7" spans="1:5">
      <c r="A7" s="62" t="s">
        <v>149</v>
      </c>
      <c r="B7" s="23"/>
      <c r="C7" s="194">
        <f>SUM(C4:C6)</f>
        <v>0</v>
      </c>
      <c r="D7" s="194">
        <f t="shared" ref="D7:E7" si="0">SUM(D4:D6)</f>
        <v>86000</v>
      </c>
      <c r="E7" s="194">
        <f t="shared" si="0"/>
        <v>92000</v>
      </c>
    </row>
    <row r="8" spans="1:5">
      <c r="C8" s="154"/>
      <c r="D8" s="154"/>
      <c r="E8" s="154"/>
    </row>
    <row r="9" spans="1:5">
      <c r="A9" s="5" t="s">
        <v>99</v>
      </c>
      <c r="C9" s="154"/>
      <c r="D9" s="154"/>
      <c r="E9" s="154"/>
    </row>
    <row r="10" spans="1:5">
      <c r="B10" t="s">
        <v>151</v>
      </c>
      <c r="C10" s="154">
        <f>Annahmen!D87</f>
        <v>0</v>
      </c>
      <c r="D10" s="154">
        <v>0</v>
      </c>
      <c r="E10" s="154">
        <v>0</v>
      </c>
    </row>
    <row r="11" spans="1:5">
      <c r="B11" t="s">
        <v>152</v>
      </c>
      <c r="C11" s="154">
        <f>Annahmen!D82</f>
        <v>100000</v>
      </c>
      <c r="D11" s="154">
        <f>'GuV und Liquidität'!O30</f>
        <v>87301.53178481324</v>
      </c>
      <c r="E11" s="154">
        <f>'GuV und Liquidität'!AB30</f>
        <v>258607.83597764667</v>
      </c>
    </row>
    <row r="12" spans="1:5">
      <c r="A12" s="62" t="s">
        <v>99</v>
      </c>
      <c r="B12" s="23"/>
      <c r="C12" s="194">
        <f>SUM(C9:C11)</f>
        <v>100000</v>
      </c>
      <c r="D12" s="194">
        <f>SUM(D9:D11)</f>
        <v>87301.53178481324</v>
      </c>
      <c r="E12" s="194">
        <f>SUM(E9:E11)</f>
        <v>258607.83597764667</v>
      </c>
    </row>
    <row r="13" spans="1:5" s="127" customFormat="1">
      <c r="A13" s="144" t="s">
        <v>102</v>
      </c>
      <c r="C13" s="152">
        <f>SUM(C7+C12)</f>
        <v>100000</v>
      </c>
      <c r="D13" s="152">
        <f t="shared" ref="D13:E13" si="1">SUM(D7+D12)</f>
        <v>173301.53178481324</v>
      </c>
      <c r="E13" s="152">
        <f t="shared" si="1"/>
        <v>350607.83597764664</v>
      </c>
    </row>
    <row r="14" spans="1:5">
      <c r="C14" s="154"/>
      <c r="D14" s="154"/>
      <c r="E14" s="154"/>
    </row>
    <row r="15" spans="1:5">
      <c r="A15" s="5" t="s">
        <v>103</v>
      </c>
      <c r="C15" s="154"/>
      <c r="D15" s="154"/>
      <c r="E15" s="154"/>
    </row>
    <row r="16" spans="1:5">
      <c r="B16" t="s">
        <v>104</v>
      </c>
      <c r="C16" s="154">
        <f>Annahmen!D84</f>
        <v>50000</v>
      </c>
      <c r="D16" s="154">
        <f>Annahmen!D84</f>
        <v>50000</v>
      </c>
      <c r="E16" s="154">
        <f>Annahmen!D84</f>
        <v>50000</v>
      </c>
    </row>
    <row r="17" spans="1:5">
      <c r="B17" t="s">
        <v>105</v>
      </c>
      <c r="C17" s="154">
        <f>Annahmen!D85</f>
        <v>30000</v>
      </c>
      <c r="D17" s="154">
        <f>C17+C18</f>
        <v>50000</v>
      </c>
      <c r="E17" s="154">
        <f>D17+D18</f>
        <v>73301.531784813356</v>
      </c>
    </row>
    <row r="18" spans="1:5">
      <c r="B18" t="s">
        <v>153</v>
      </c>
      <c r="C18" s="154">
        <f>Annahmen!D86</f>
        <v>20000</v>
      </c>
      <c r="D18" s="154">
        <f>'GuV und Liquidität'!O16</f>
        <v>23301.531784813349</v>
      </c>
      <c r="E18" s="154">
        <f>'GuV und Liquidität'!AB16</f>
        <v>112306.30419283354</v>
      </c>
    </row>
    <row r="19" spans="1:5">
      <c r="A19" s="62" t="s">
        <v>103</v>
      </c>
      <c r="B19" s="23"/>
      <c r="C19" s="194">
        <f>SUM(C16:C18)</f>
        <v>100000</v>
      </c>
      <c r="D19" s="194">
        <f>SUM(D16:D18)</f>
        <v>123301.53178481336</v>
      </c>
      <c r="E19" s="194">
        <f>SUM(E16:E18)</f>
        <v>235607.8359776469</v>
      </c>
    </row>
    <row r="20" spans="1:5">
      <c r="C20" s="154"/>
      <c r="D20" s="154"/>
      <c r="E20" s="154"/>
    </row>
    <row r="21" spans="1:5">
      <c r="A21" s="203" t="s">
        <v>154</v>
      </c>
      <c r="B21" s="204"/>
      <c r="C21" s="154">
        <v>0</v>
      </c>
      <c r="D21" s="154">
        <f>Kredit!O23</f>
        <v>49999.999999999971</v>
      </c>
      <c r="E21" s="154">
        <f>Kredit!AB23</f>
        <v>114999.99999999994</v>
      </c>
    </row>
    <row r="22" spans="1:5">
      <c r="A22" s="203" t="s">
        <v>155</v>
      </c>
      <c r="B22" s="204"/>
      <c r="C22" s="154">
        <v>0</v>
      </c>
      <c r="D22" s="154">
        <v>0</v>
      </c>
      <c r="E22" s="154">
        <v>0</v>
      </c>
    </row>
    <row r="23" spans="1:5" s="127" customFormat="1">
      <c r="A23" s="195" t="s">
        <v>102</v>
      </c>
      <c r="B23" s="196"/>
      <c r="C23" s="197">
        <f>SUM(C19+C21+C22)</f>
        <v>100000</v>
      </c>
      <c r="D23" s="197">
        <f t="shared" ref="D23:E23" si="2">SUM(D19+D21+D22)</f>
        <v>173301.53178481333</v>
      </c>
      <c r="E23" s="197">
        <f t="shared" si="2"/>
        <v>350607.83597764687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A015-1710-4852-9955-905E3089CEAA}">
  <dimension ref="A2:AA12"/>
  <sheetViews>
    <sheetView topLeftCell="J1" workbookViewId="0">
      <selection activeCell="AA6" sqref="AA6"/>
    </sheetView>
  </sheetViews>
  <sheetFormatPr defaultRowHeight="15" outlineLevelCol="1"/>
  <cols>
    <col min="1" max="1" width="20.42578125" customWidth="1"/>
    <col min="2" max="13" width="10.7109375" customWidth="1" outlineLevel="1"/>
    <col min="14" max="14" width="13.85546875" bestFit="1" customWidth="1"/>
    <col min="15" max="26" width="10.7109375" customWidth="1" outlineLevel="1"/>
    <col min="27" max="27" width="13.85546875" bestFit="1" customWidth="1"/>
  </cols>
  <sheetData>
    <row r="2" spans="1:27">
      <c r="N2" s="37" t="s">
        <v>110</v>
      </c>
      <c r="AA2" s="37" t="s">
        <v>110</v>
      </c>
    </row>
    <row r="3" spans="1:27">
      <c r="B3" s="45" t="s">
        <v>112</v>
      </c>
      <c r="C3" s="45" t="s">
        <v>113</v>
      </c>
      <c r="D3" s="45" t="s">
        <v>156</v>
      </c>
      <c r="E3" s="45" t="s">
        <v>115</v>
      </c>
      <c r="F3" s="45" t="s">
        <v>157</v>
      </c>
      <c r="G3" s="45" t="s">
        <v>117</v>
      </c>
      <c r="H3" s="45" t="s">
        <v>118</v>
      </c>
      <c r="I3" s="45" t="s">
        <v>119</v>
      </c>
      <c r="J3" s="45" t="s">
        <v>120</v>
      </c>
      <c r="K3" s="45" t="s">
        <v>158</v>
      </c>
      <c r="L3" s="45" t="s">
        <v>122</v>
      </c>
      <c r="M3" s="45" t="s">
        <v>159</v>
      </c>
      <c r="N3" s="38">
        <v>2025</v>
      </c>
      <c r="O3" s="45" t="s">
        <v>112</v>
      </c>
      <c r="P3" s="45" t="s">
        <v>113</v>
      </c>
      <c r="Q3" s="45" t="s">
        <v>156</v>
      </c>
      <c r="R3" s="45" t="s">
        <v>115</v>
      </c>
      <c r="S3" s="45" t="s">
        <v>157</v>
      </c>
      <c r="T3" s="45" t="s">
        <v>117</v>
      </c>
      <c r="U3" s="45" t="s">
        <v>118</v>
      </c>
      <c r="V3" s="45" t="s">
        <v>119</v>
      </c>
      <c r="W3" s="45" t="s">
        <v>120</v>
      </c>
      <c r="X3" s="45" t="s">
        <v>158</v>
      </c>
      <c r="Y3" s="45" t="s">
        <v>122</v>
      </c>
      <c r="Z3" s="45" t="s">
        <v>159</v>
      </c>
      <c r="AA3" s="38">
        <v>2026</v>
      </c>
    </row>
    <row r="4" spans="1:27">
      <c r="A4" s="5" t="s">
        <v>160</v>
      </c>
      <c r="B4" s="8">
        <v>0.05</v>
      </c>
      <c r="C4" s="8">
        <v>0.1</v>
      </c>
      <c r="D4" s="8">
        <v>0.1</v>
      </c>
      <c r="E4" s="8">
        <v>0.08</v>
      </c>
      <c r="F4" s="8">
        <v>0.05</v>
      </c>
      <c r="G4" s="8">
        <v>0.1</v>
      </c>
      <c r="H4" s="8">
        <v>0.05</v>
      </c>
      <c r="I4" s="8">
        <v>0.05</v>
      </c>
      <c r="J4" s="8">
        <v>0.15</v>
      </c>
      <c r="K4" s="8">
        <v>0.1</v>
      </c>
      <c r="L4" s="8">
        <v>0.08</v>
      </c>
      <c r="M4" s="8">
        <v>0.09</v>
      </c>
      <c r="O4" s="8">
        <v>0.05</v>
      </c>
      <c r="P4" s="8">
        <v>0.1</v>
      </c>
      <c r="Q4" s="8">
        <v>0.1</v>
      </c>
      <c r="R4" s="8">
        <v>0.08</v>
      </c>
      <c r="S4" s="8">
        <v>0.05</v>
      </c>
      <c r="T4" s="8">
        <v>0.1</v>
      </c>
      <c r="U4" s="8">
        <v>0.05</v>
      </c>
      <c r="V4" s="8">
        <v>0.05</v>
      </c>
      <c r="W4" s="8">
        <v>0.15</v>
      </c>
      <c r="X4" s="8">
        <v>0.1</v>
      </c>
      <c r="Y4" s="8">
        <v>0.08</v>
      </c>
      <c r="Z4" s="8">
        <v>0.09</v>
      </c>
    </row>
    <row r="5" spans="1:27">
      <c r="A5" s="5"/>
    </row>
    <row r="6" spans="1:27" s="59" customFormat="1">
      <c r="A6" s="59" t="s">
        <v>161</v>
      </c>
      <c r="B6" s="60">
        <f>$N$6*B4</f>
        <v>71999.995391999997</v>
      </c>
      <c r="C6" s="60">
        <f>$N$6*C4</f>
        <v>143999.99078399999</v>
      </c>
      <c r="D6" s="60">
        <f>$N$6*D4</f>
        <v>143999.99078399999</v>
      </c>
      <c r="E6" s="60">
        <f>$N$6*E4</f>
        <v>115199.9926272</v>
      </c>
      <c r="F6" s="60">
        <f>$N$6*F4</f>
        <v>71999.995391999997</v>
      </c>
      <c r="G6" s="60">
        <f>$N$6*G4</f>
        <v>143999.99078399999</v>
      </c>
      <c r="H6" s="60">
        <f>$N$6*H4</f>
        <v>71999.995391999997</v>
      </c>
      <c r="I6" s="60">
        <f>$N$6*I4</f>
        <v>71999.995391999997</v>
      </c>
      <c r="J6" s="60">
        <f>$N$6*J4</f>
        <v>215999.98617600001</v>
      </c>
      <c r="K6" s="60">
        <f>$N$6*K4</f>
        <v>143999.99078399999</v>
      </c>
      <c r="L6" s="60">
        <f>$N$6*L4</f>
        <v>115199.9926272</v>
      </c>
      <c r="M6" s="60">
        <f>$N$6*M4</f>
        <v>129599.9917056</v>
      </c>
      <c r="N6" s="60">
        <f>Annahmen!$E$46</f>
        <v>1439999.90784</v>
      </c>
      <c r="O6" s="60">
        <f>$AA$6*O4</f>
        <v>89999.994240000015</v>
      </c>
      <c r="P6" s="60">
        <f>$AA$6*P4</f>
        <v>179999.98848000003</v>
      </c>
      <c r="Q6" s="60">
        <f>$AA$6*Q4</f>
        <v>179999.98848000003</v>
      </c>
      <c r="R6" s="60">
        <f>$AA$6*R4</f>
        <v>143999.99078400002</v>
      </c>
      <c r="S6" s="60">
        <f>$AA$6*S4</f>
        <v>89999.994240000015</v>
      </c>
      <c r="T6" s="60">
        <f>$AA$6*T4</f>
        <v>179999.98848000003</v>
      </c>
      <c r="U6" s="60">
        <f>$AA$6*U4</f>
        <v>89999.994240000015</v>
      </c>
      <c r="V6" s="60">
        <f>$AA$6*V4</f>
        <v>89999.994240000015</v>
      </c>
      <c r="W6" s="60">
        <f>$AA$6*W4</f>
        <v>269999.98272000003</v>
      </c>
      <c r="X6" s="60">
        <f>$AA$6*X4</f>
        <v>179999.98848000003</v>
      </c>
      <c r="Y6" s="60">
        <f>$AA$6*Y4</f>
        <v>143999.99078400002</v>
      </c>
      <c r="Z6" s="60">
        <f>$AA$6*Z4</f>
        <v>161999.98963200001</v>
      </c>
      <c r="AA6" s="60">
        <f>Annahmen!$F$46</f>
        <v>1799999.8848000001</v>
      </c>
    </row>
    <row r="8" spans="1:27">
      <c r="P8" s="5" t="s">
        <v>162</v>
      </c>
    </row>
    <row r="9" spans="1:27">
      <c r="A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2"/>
      <c r="P9" s="62"/>
    </row>
    <row r="10" spans="1:27">
      <c r="A10" s="5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8"/>
    </row>
    <row r="11" spans="1:27">
      <c r="A11" s="5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27">
      <c r="A12" s="5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4849-42BC-4CE8-B4A7-27323F3DF716}">
  <dimension ref="A1:AF21"/>
  <sheetViews>
    <sheetView topLeftCell="A3" workbookViewId="0">
      <selection activeCell="D15" sqref="D15"/>
    </sheetView>
  </sheetViews>
  <sheetFormatPr defaultRowHeight="15"/>
  <cols>
    <col min="2" max="2" width="21.85546875" customWidth="1"/>
    <col min="3" max="4" width="10.7109375" bestFit="1" customWidth="1"/>
    <col min="5" max="6" width="19.140625" customWidth="1"/>
    <col min="7" max="18" width="13" bestFit="1" customWidth="1"/>
    <col min="19" max="19" width="12.85546875" customWidth="1"/>
    <col min="32" max="32" width="10.28515625" customWidth="1"/>
  </cols>
  <sheetData>
    <row r="1" spans="1:32">
      <c r="B1" t="s">
        <v>111</v>
      </c>
      <c r="C1" s="47"/>
      <c r="F1" s="47"/>
    </row>
    <row r="2" spans="1:32">
      <c r="A2" s="40"/>
      <c r="B2" s="40"/>
      <c r="C2" s="47"/>
      <c r="D2" s="40"/>
      <c r="E2" s="211" t="s">
        <v>163</v>
      </c>
      <c r="F2" s="212"/>
      <c r="G2" s="48">
        <f>2025</f>
        <v>2025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5" t="s">
        <v>110</v>
      </c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45" t="s">
        <v>110</v>
      </c>
    </row>
    <row r="3" spans="1:32">
      <c r="A3" s="49"/>
      <c r="B3" s="50"/>
      <c r="C3" s="51"/>
      <c r="D3" s="52"/>
      <c r="E3" s="213"/>
      <c r="F3" s="214"/>
      <c r="G3" s="53">
        <v>45658</v>
      </c>
      <c r="H3" s="53">
        <v>45689</v>
      </c>
      <c r="I3" s="53">
        <v>45717</v>
      </c>
      <c r="J3" s="53">
        <v>45748</v>
      </c>
      <c r="K3" s="53">
        <v>45778</v>
      </c>
      <c r="L3" s="53">
        <v>45809</v>
      </c>
      <c r="M3" s="53">
        <v>45839</v>
      </c>
      <c r="N3" s="53">
        <v>45870</v>
      </c>
      <c r="O3" s="53">
        <v>45901</v>
      </c>
      <c r="P3" s="53">
        <v>45931</v>
      </c>
      <c r="Q3" s="53">
        <v>45962</v>
      </c>
      <c r="R3" s="53">
        <v>45992</v>
      </c>
      <c r="S3" s="45">
        <v>2025</v>
      </c>
      <c r="T3" s="45" t="s">
        <v>112</v>
      </c>
      <c r="U3" s="45" t="s">
        <v>113</v>
      </c>
      <c r="V3" s="45" t="s">
        <v>114</v>
      </c>
      <c r="W3" s="45" t="s">
        <v>115</v>
      </c>
      <c r="X3" s="45" t="s">
        <v>116</v>
      </c>
      <c r="Y3" s="45" t="s">
        <v>117</v>
      </c>
      <c r="Z3" s="45" t="s">
        <v>118</v>
      </c>
      <c r="AA3" s="45" t="s">
        <v>119</v>
      </c>
      <c r="AB3" s="45" t="s">
        <v>120</v>
      </c>
      <c r="AC3" s="45" t="s">
        <v>121</v>
      </c>
      <c r="AD3" s="45" t="s">
        <v>122</v>
      </c>
      <c r="AE3" s="45" t="s">
        <v>123</v>
      </c>
      <c r="AF3" s="45">
        <v>2026</v>
      </c>
    </row>
    <row r="4" spans="1:32">
      <c r="A4" s="208" t="s">
        <v>164</v>
      </c>
      <c r="B4" s="209"/>
      <c r="C4" s="210"/>
      <c r="D4" s="42"/>
      <c r="E4" s="41"/>
      <c r="F4" s="77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</row>
    <row r="5" spans="1:32">
      <c r="A5" s="43"/>
      <c r="B5" s="39"/>
      <c r="C5" s="46"/>
      <c r="D5" s="44"/>
      <c r="F5" s="78"/>
    </row>
    <row r="6" spans="1:32">
      <c r="A6" s="43">
        <v>1</v>
      </c>
      <c r="B6" s="40" t="s">
        <v>165</v>
      </c>
      <c r="C6" s="47">
        <f>Annahmen!E49</f>
        <v>40</v>
      </c>
      <c r="D6" s="109">
        <f>Annahmen!D49</f>
        <v>7000</v>
      </c>
      <c r="E6" s="103">
        <f>Annahmen!G49</f>
        <v>7000</v>
      </c>
      <c r="F6" s="104">
        <v>45658</v>
      </c>
      <c r="G6" s="103">
        <f>$E$6</f>
        <v>7000</v>
      </c>
      <c r="H6" s="103">
        <f>$E$6</f>
        <v>7000</v>
      </c>
      <c r="I6" s="103">
        <f>$E$6</f>
        <v>7000</v>
      </c>
      <c r="J6" s="103">
        <f>$E$6</f>
        <v>7000</v>
      </c>
      <c r="K6" s="103">
        <f>$E$6</f>
        <v>7000</v>
      </c>
      <c r="L6" s="103">
        <f>$E$6</f>
        <v>7000</v>
      </c>
      <c r="M6" s="103">
        <f>$E$6</f>
        <v>7000</v>
      </c>
      <c r="N6" s="103">
        <f>$E$6</f>
        <v>7000</v>
      </c>
      <c r="O6" s="103">
        <f>$E$6</f>
        <v>7000</v>
      </c>
      <c r="P6" s="103">
        <f>$E$6</f>
        <v>7000</v>
      </c>
      <c r="Q6" s="103">
        <f>$E$6</f>
        <v>7000</v>
      </c>
      <c r="R6" s="103">
        <f>$E$6</f>
        <v>7000</v>
      </c>
      <c r="S6" s="149">
        <f>SUM(G6:R6)</f>
        <v>84000</v>
      </c>
      <c r="T6" s="103">
        <f>$E$6</f>
        <v>7000</v>
      </c>
      <c r="U6" s="103">
        <f>$E$6</f>
        <v>7000</v>
      </c>
      <c r="V6" s="103">
        <f>$E$6</f>
        <v>7000</v>
      </c>
      <c r="W6" s="103">
        <f>$E$6</f>
        <v>7000</v>
      </c>
      <c r="X6" s="103">
        <f>$E$6</f>
        <v>7000</v>
      </c>
      <c r="Y6" s="103">
        <f>$E$6</f>
        <v>7000</v>
      </c>
      <c r="Z6" s="103">
        <f>$E$6</f>
        <v>7000</v>
      </c>
      <c r="AA6" s="103">
        <f>$E$6</f>
        <v>7000</v>
      </c>
      <c r="AB6" s="103">
        <f>$E$6</f>
        <v>7000</v>
      </c>
      <c r="AC6" s="103">
        <f>$E$6</f>
        <v>7000</v>
      </c>
      <c r="AD6" s="103">
        <f>$E$6</f>
        <v>7000</v>
      </c>
      <c r="AE6" s="103">
        <f>$E$6</f>
        <v>7000</v>
      </c>
      <c r="AF6" s="103">
        <f>SUM(T6:AE6)</f>
        <v>84000</v>
      </c>
    </row>
    <row r="7" spans="1:32">
      <c r="A7" s="43">
        <f>Annahmen!C50</f>
        <v>1</v>
      </c>
      <c r="B7" s="40" t="s">
        <v>72</v>
      </c>
      <c r="C7" s="47">
        <f>Annahmen!E50</f>
        <v>40</v>
      </c>
      <c r="D7" s="109">
        <f>Annahmen!D50</f>
        <v>3300</v>
      </c>
      <c r="E7" s="103">
        <f>Annahmen!G50</f>
        <v>3300</v>
      </c>
      <c r="F7" s="104">
        <v>45658</v>
      </c>
      <c r="G7" s="103">
        <f>$E$7</f>
        <v>3300</v>
      </c>
      <c r="H7" s="103">
        <f>$E$7</f>
        <v>3300</v>
      </c>
      <c r="I7" s="103">
        <f>$E$7</f>
        <v>3300</v>
      </c>
      <c r="J7" s="103">
        <f>$E$7</f>
        <v>3300</v>
      </c>
      <c r="K7" s="103">
        <f>$E$7</f>
        <v>3300</v>
      </c>
      <c r="L7" s="103">
        <f>$E$7</f>
        <v>3300</v>
      </c>
      <c r="M7" s="103">
        <f>$E$7</f>
        <v>3300</v>
      </c>
      <c r="N7" s="103">
        <f>$E$7</f>
        <v>3300</v>
      </c>
      <c r="O7" s="103">
        <f>$E$7</f>
        <v>3300</v>
      </c>
      <c r="P7" s="103">
        <f>$E$7</f>
        <v>3300</v>
      </c>
      <c r="Q7" s="103">
        <f>$E$7</f>
        <v>3300</v>
      </c>
      <c r="R7" s="103">
        <f>$E$7</f>
        <v>3300</v>
      </c>
      <c r="S7" s="149">
        <f>SUM(G7:R7)</f>
        <v>39600</v>
      </c>
      <c r="T7" s="103">
        <f>$E$7</f>
        <v>3300</v>
      </c>
      <c r="U7" s="103">
        <f>$E$7</f>
        <v>3300</v>
      </c>
      <c r="V7" s="103">
        <f>$E$7</f>
        <v>3300</v>
      </c>
      <c r="W7" s="103">
        <f>$E$7</f>
        <v>3300</v>
      </c>
      <c r="X7" s="103">
        <f>$E$7</f>
        <v>3300</v>
      </c>
      <c r="Y7" s="103">
        <f>$E$7</f>
        <v>3300</v>
      </c>
      <c r="Z7" s="103">
        <f>$E$7</f>
        <v>3300</v>
      </c>
      <c r="AA7" s="103">
        <f>$E$7</f>
        <v>3300</v>
      </c>
      <c r="AB7" s="103">
        <f>$E$7</f>
        <v>3300</v>
      </c>
      <c r="AC7" s="103">
        <f>$E$7</f>
        <v>3300</v>
      </c>
      <c r="AD7" s="103">
        <f>$E$7</f>
        <v>3300</v>
      </c>
      <c r="AE7" s="103">
        <f>$E$7</f>
        <v>3300</v>
      </c>
      <c r="AF7" s="103">
        <f>SUM(T7:AE7)</f>
        <v>39600</v>
      </c>
    </row>
    <row r="8" spans="1:32">
      <c r="A8" s="43">
        <f>Annahmen!C51</f>
        <v>2</v>
      </c>
      <c r="B8" s="40" t="s">
        <v>73</v>
      </c>
      <c r="C8" s="47">
        <f>Annahmen!E51</f>
        <v>40</v>
      </c>
      <c r="D8" s="109">
        <f>Annahmen!D51</f>
        <v>3300</v>
      </c>
      <c r="E8" s="103">
        <f>Annahmen!G51</f>
        <v>6600</v>
      </c>
      <c r="F8" s="104">
        <v>45658</v>
      </c>
      <c r="G8" s="103">
        <f>$E$8</f>
        <v>6600</v>
      </c>
      <c r="H8" s="103">
        <f>$E$8</f>
        <v>6600</v>
      </c>
      <c r="I8" s="103">
        <f>$E$8</f>
        <v>6600</v>
      </c>
      <c r="J8" s="103">
        <f>$E$8</f>
        <v>6600</v>
      </c>
      <c r="K8" s="103">
        <f>$E$8</f>
        <v>6600</v>
      </c>
      <c r="L8" s="103">
        <f>$E$8</f>
        <v>6600</v>
      </c>
      <c r="M8" s="103">
        <f>$E$8</f>
        <v>6600</v>
      </c>
      <c r="N8" s="103">
        <f>$E$8</f>
        <v>6600</v>
      </c>
      <c r="O8" s="103">
        <f>$E$8</f>
        <v>6600</v>
      </c>
      <c r="P8" s="103">
        <f>$E$8</f>
        <v>6600</v>
      </c>
      <c r="Q8" s="103">
        <f>$E$8</f>
        <v>6600</v>
      </c>
      <c r="R8" s="103">
        <f>$E$8</f>
        <v>6600</v>
      </c>
      <c r="S8" s="149">
        <f>SUM(G8:R8)</f>
        <v>79200</v>
      </c>
      <c r="T8" s="103">
        <f>$E$8</f>
        <v>6600</v>
      </c>
      <c r="U8" s="103">
        <f>$E$8</f>
        <v>6600</v>
      </c>
      <c r="V8" s="103">
        <f>$E$8</f>
        <v>6600</v>
      </c>
      <c r="W8" s="103">
        <f>$E$8</f>
        <v>6600</v>
      </c>
      <c r="X8" s="103">
        <f>$E$8</f>
        <v>6600</v>
      </c>
      <c r="Y8" s="103">
        <f>$E$8</f>
        <v>6600</v>
      </c>
      <c r="Z8" s="103">
        <f>$E$8</f>
        <v>6600</v>
      </c>
      <c r="AA8" s="103">
        <f>$E$8</f>
        <v>6600</v>
      </c>
      <c r="AB8" s="103">
        <f>$E$8</f>
        <v>6600</v>
      </c>
      <c r="AC8" s="103">
        <f>$E$8</f>
        <v>6600</v>
      </c>
      <c r="AD8" s="103">
        <f>$E$8</f>
        <v>6600</v>
      </c>
      <c r="AE8" s="103">
        <f>$E$8</f>
        <v>6600</v>
      </c>
      <c r="AF8" s="103">
        <f>SUM(T8:AE8)</f>
        <v>79200</v>
      </c>
    </row>
    <row r="9" spans="1:32">
      <c r="A9" s="43">
        <f>Annahmen!C52</f>
        <v>1</v>
      </c>
      <c r="B9" s="40" t="s">
        <v>166</v>
      </c>
      <c r="C9" s="47">
        <f>Annahmen!E52</f>
        <v>40</v>
      </c>
      <c r="D9" s="109">
        <f>Annahmen!D52</f>
        <v>3300</v>
      </c>
      <c r="E9" s="103">
        <f>Annahmen!G52</f>
        <v>3300</v>
      </c>
      <c r="F9" s="104">
        <v>45658</v>
      </c>
      <c r="G9" s="103">
        <f>$E$9</f>
        <v>3300</v>
      </c>
      <c r="H9" s="103">
        <f>$E$9</f>
        <v>3300</v>
      </c>
      <c r="I9" s="103">
        <f>$E$9</f>
        <v>3300</v>
      </c>
      <c r="J9" s="103">
        <f>$E$9</f>
        <v>3300</v>
      </c>
      <c r="K9" s="103">
        <f>$E$9</f>
        <v>3300</v>
      </c>
      <c r="L9" s="103">
        <f>$E$9</f>
        <v>3300</v>
      </c>
      <c r="M9" s="103">
        <f>$E$9</f>
        <v>3300</v>
      </c>
      <c r="N9" s="103">
        <f>$E$9</f>
        <v>3300</v>
      </c>
      <c r="O9" s="103">
        <f>$E$9</f>
        <v>3300</v>
      </c>
      <c r="P9" s="103">
        <f>$E$9</f>
        <v>3300</v>
      </c>
      <c r="Q9" s="103">
        <f>$E$9</f>
        <v>3300</v>
      </c>
      <c r="R9" s="103">
        <f>$E$9</f>
        <v>3300</v>
      </c>
      <c r="S9" s="149">
        <f>SUM(G9:R9)</f>
        <v>39600</v>
      </c>
      <c r="T9" s="103">
        <f>$E$9</f>
        <v>3300</v>
      </c>
      <c r="U9" s="103">
        <f>$E$9</f>
        <v>3300</v>
      </c>
      <c r="V9" s="103">
        <f>$E$9</f>
        <v>3300</v>
      </c>
      <c r="W9" s="103">
        <f>$E$9</f>
        <v>3300</v>
      </c>
      <c r="X9" s="103">
        <f>$E$9</f>
        <v>3300</v>
      </c>
      <c r="Y9" s="103">
        <f>$E$9</f>
        <v>3300</v>
      </c>
      <c r="Z9" s="103">
        <f>$E$9</f>
        <v>3300</v>
      </c>
      <c r="AA9" s="103">
        <f>$E$9</f>
        <v>3300</v>
      </c>
      <c r="AB9" s="103">
        <f>$E$9</f>
        <v>3300</v>
      </c>
      <c r="AC9" s="103">
        <f>$E$9</f>
        <v>3300</v>
      </c>
      <c r="AD9" s="103">
        <f>$E$9</f>
        <v>3300</v>
      </c>
      <c r="AE9" s="103">
        <f>$E$9</f>
        <v>3300</v>
      </c>
      <c r="AF9" s="103">
        <f>SUM(T9:AE9)</f>
        <v>39600</v>
      </c>
    </row>
    <row r="10" spans="1:32">
      <c r="A10" s="43">
        <f>Annahmen!C54</f>
        <v>15</v>
      </c>
      <c r="B10" s="40" t="s">
        <v>75</v>
      </c>
      <c r="C10" s="47">
        <f>Annahmen!E53</f>
        <v>40</v>
      </c>
      <c r="D10" s="109">
        <f>Annahmen!D53</f>
        <v>4300</v>
      </c>
      <c r="E10" s="103">
        <f>Annahmen!G53</f>
        <v>64500</v>
      </c>
      <c r="F10" s="104">
        <v>45658</v>
      </c>
      <c r="G10" s="103">
        <f>$E$10</f>
        <v>64500</v>
      </c>
      <c r="H10" s="103">
        <f>$E$10</f>
        <v>64500</v>
      </c>
      <c r="I10" s="103">
        <f>$E$10</f>
        <v>64500</v>
      </c>
      <c r="J10" s="103">
        <f>$E$10</f>
        <v>64500</v>
      </c>
      <c r="K10" s="103">
        <f>$E$10</f>
        <v>64500</v>
      </c>
      <c r="L10" s="103">
        <f>$E$10</f>
        <v>64500</v>
      </c>
      <c r="M10" s="103">
        <f>$E$10</f>
        <v>64500</v>
      </c>
      <c r="N10" s="103">
        <f>$E$10</f>
        <v>64500</v>
      </c>
      <c r="O10" s="103">
        <f>$E$10</f>
        <v>64500</v>
      </c>
      <c r="P10" s="103">
        <f>$E$10</f>
        <v>64500</v>
      </c>
      <c r="Q10" s="103">
        <f>$E$10</f>
        <v>64500</v>
      </c>
      <c r="R10" s="103">
        <f>$E$10</f>
        <v>64500</v>
      </c>
      <c r="S10" s="149">
        <f>SUM(G10:R10)</f>
        <v>774000</v>
      </c>
      <c r="T10" s="103">
        <f>$E$10+$E$15</f>
        <v>79500</v>
      </c>
      <c r="U10" s="103">
        <f>$E$10+$E$15</f>
        <v>79500</v>
      </c>
      <c r="V10" s="103">
        <f>$E$10+$E$15</f>
        <v>79500</v>
      </c>
      <c r="W10" s="103">
        <f>$E$10+$E$15</f>
        <v>79500</v>
      </c>
      <c r="X10" s="103">
        <f>$E$10+$E$15</f>
        <v>79500</v>
      </c>
      <c r="Y10" s="103">
        <f>$E$10+$E$15</f>
        <v>79500</v>
      </c>
      <c r="Z10" s="103">
        <f>$E$10+$E$15</f>
        <v>79500</v>
      </c>
      <c r="AA10" s="103">
        <f>$E$10+$E$15</f>
        <v>79500</v>
      </c>
      <c r="AB10" s="103">
        <f>$E$10+$E$15</f>
        <v>79500</v>
      </c>
      <c r="AC10" s="103">
        <f>$E$10+$E$15</f>
        <v>79500</v>
      </c>
      <c r="AD10" s="103">
        <f>$E$10+$E$15</f>
        <v>79500</v>
      </c>
      <c r="AE10" s="103">
        <f>$E$10+$E$15</f>
        <v>79500</v>
      </c>
      <c r="AF10" s="103">
        <f>SUM(T10:AE10)</f>
        <v>954000</v>
      </c>
    </row>
    <row r="11" spans="1:32">
      <c r="A11" s="54"/>
      <c r="B11" s="55"/>
      <c r="C11" s="56"/>
      <c r="D11" s="110"/>
      <c r="E11" s="105"/>
      <c r="F11" s="79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</row>
    <row r="12" spans="1:32">
      <c r="A12" s="57"/>
      <c r="B12" s="64" t="s">
        <v>167</v>
      </c>
      <c r="C12" s="68"/>
      <c r="D12" s="106"/>
      <c r="E12" s="106"/>
      <c r="F12" s="80"/>
      <c r="G12" s="106">
        <f>SUM(G6:G10)</f>
        <v>84700</v>
      </c>
      <c r="H12" s="106">
        <f>SUM(H6:H10)</f>
        <v>84700</v>
      </c>
      <c r="I12" s="106">
        <f>SUM(I6:I10)</f>
        <v>84700</v>
      </c>
      <c r="J12" s="106">
        <f>SUM(J6:J10)</f>
        <v>84700</v>
      </c>
      <c r="K12" s="106">
        <f>SUM(K6:K10)</f>
        <v>84700</v>
      </c>
      <c r="L12" s="106">
        <f>SUM(L6:L10)</f>
        <v>84700</v>
      </c>
      <c r="M12" s="106">
        <f>SUM(M6:M10)</f>
        <v>84700</v>
      </c>
      <c r="N12" s="106">
        <f>SUM(N6:N10)</f>
        <v>84700</v>
      </c>
      <c r="O12" s="106">
        <f>SUM(O6:O10)</f>
        <v>84700</v>
      </c>
      <c r="P12" s="106">
        <f>SUM(P6:P10)</f>
        <v>84700</v>
      </c>
      <c r="Q12" s="106">
        <f>SUM(Q6:Q10)</f>
        <v>84700</v>
      </c>
      <c r="R12" s="106">
        <f>SUM(R6:R10)</f>
        <v>84700</v>
      </c>
      <c r="S12" s="106">
        <f>SUM(S6:S10)</f>
        <v>1016400</v>
      </c>
      <c r="T12" s="106">
        <f>SUM(T6:T10)</f>
        <v>99700</v>
      </c>
      <c r="U12" s="106">
        <f>SUM(U6:U10)</f>
        <v>99700</v>
      </c>
      <c r="V12" s="106">
        <f>SUM(V6:V10)</f>
        <v>99700</v>
      </c>
      <c r="W12" s="106">
        <f>SUM(W6:W10)</f>
        <v>99700</v>
      </c>
      <c r="X12" s="106">
        <f>SUM(X6:X10)</f>
        <v>99700</v>
      </c>
      <c r="Y12" s="106">
        <f>SUM(Y6:Y10)</f>
        <v>99700</v>
      </c>
      <c r="Z12" s="106">
        <f>SUM(Z6:Z10)</f>
        <v>99700</v>
      </c>
      <c r="AA12" s="106">
        <f>SUM(AA6:AA10)</f>
        <v>99700</v>
      </c>
      <c r="AB12" s="106">
        <f>SUM(AB6:AB10)</f>
        <v>99700</v>
      </c>
      <c r="AC12" s="106">
        <f>SUM(AC6:AC10)</f>
        <v>99700</v>
      </c>
      <c r="AD12" s="106">
        <f>SUM(AD6:AD10)</f>
        <v>99700</v>
      </c>
      <c r="AE12" s="106">
        <f>SUM(AE6:AE10)</f>
        <v>99700</v>
      </c>
      <c r="AF12" s="103">
        <f>SUM(AF6:AF10)</f>
        <v>1196400</v>
      </c>
    </row>
    <row r="13" spans="1:32" ht="30.75" customHeight="1">
      <c r="A13" s="215" t="s">
        <v>168</v>
      </c>
      <c r="B13" s="215"/>
      <c r="C13" s="216"/>
      <c r="D13" s="107"/>
      <c r="E13" s="107"/>
      <c r="F13" s="81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</row>
    <row r="14" spans="1:32">
      <c r="C14" s="47"/>
      <c r="D14" s="103"/>
      <c r="E14" s="103"/>
      <c r="F14" s="78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</row>
    <row r="15" spans="1:32">
      <c r="A15">
        <v>15</v>
      </c>
      <c r="B15" t="s">
        <v>76</v>
      </c>
      <c r="C15" s="47"/>
      <c r="D15" s="103">
        <f>Annahmen!D54</f>
        <v>1000</v>
      </c>
      <c r="E15" s="103">
        <f>Annahmen!H54</f>
        <v>15000</v>
      </c>
      <c r="F15" s="104">
        <v>46023</v>
      </c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</row>
    <row r="16" spans="1:32">
      <c r="A16" s="55"/>
      <c r="B16" s="55"/>
      <c r="C16" s="56"/>
      <c r="D16" s="55"/>
      <c r="E16" s="55"/>
      <c r="F16" s="79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</row>
    <row r="17" spans="1:32">
      <c r="A17" s="57"/>
      <c r="B17" s="64" t="s">
        <v>169</v>
      </c>
      <c r="C17" s="68"/>
      <c r="D17" s="57"/>
      <c r="E17" s="57"/>
      <c r="F17" s="80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</row>
    <row r="18" spans="1:32" ht="30" customHeight="1">
      <c r="A18" s="215" t="s">
        <v>170</v>
      </c>
      <c r="B18" s="215"/>
      <c r="C18" s="216"/>
      <c r="D18" s="58"/>
      <c r="E18" s="58"/>
      <c r="F18" s="81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</row>
    <row r="19" spans="1:32">
      <c r="B19" t="s">
        <v>171</v>
      </c>
      <c r="C19" s="47"/>
      <c r="F19" s="78"/>
      <c r="G19" s="103">
        <f>G12</f>
        <v>84700</v>
      </c>
      <c r="H19" s="103">
        <f>H12</f>
        <v>84700</v>
      </c>
      <c r="I19" s="103">
        <f>I12</f>
        <v>84700</v>
      </c>
      <c r="J19" s="103">
        <f>J12</f>
        <v>84700</v>
      </c>
      <c r="K19" s="103">
        <f>K12</f>
        <v>84700</v>
      </c>
      <c r="L19" s="103">
        <f>L12</f>
        <v>84700</v>
      </c>
      <c r="M19" s="103">
        <f>M12</f>
        <v>84700</v>
      </c>
      <c r="N19" s="103">
        <f>N12</f>
        <v>84700</v>
      </c>
      <c r="O19" s="103">
        <f>O12</f>
        <v>84700</v>
      </c>
      <c r="P19" s="103">
        <f>P12</f>
        <v>84700</v>
      </c>
      <c r="Q19" s="103">
        <f>Q12</f>
        <v>84700</v>
      </c>
      <c r="R19" s="103">
        <f>R12</f>
        <v>84700</v>
      </c>
      <c r="S19" s="103">
        <f>S12</f>
        <v>1016400</v>
      </c>
      <c r="T19" s="103">
        <f>T12</f>
        <v>99700</v>
      </c>
      <c r="U19" s="103">
        <f>U12</f>
        <v>99700</v>
      </c>
      <c r="V19" s="103">
        <f>V12</f>
        <v>99700</v>
      </c>
      <c r="W19" s="103">
        <f>W12</f>
        <v>99700</v>
      </c>
      <c r="X19" s="103">
        <f>X12</f>
        <v>99700</v>
      </c>
      <c r="Y19" s="103">
        <f>Y12</f>
        <v>99700</v>
      </c>
      <c r="Z19" s="103">
        <f>Z12</f>
        <v>99700</v>
      </c>
      <c r="AA19" s="103">
        <f>AA12</f>
        <v>99700</v>
      </c>
      <c r="AB19" s="103">
        <f>AB12</f>
        <v>99700</v>
      </c>
      <c r="AC19" s="103">
        <f>AC12</f>
        <v>99700</v>
      </c>
      <c r="AD19" s="103">
        <f>AD12</f>
        <v>99700</v>
      </c>
      <c r="AE19" s="103">
        <f>AE12</f>
        <v>99700</v>
      </c>
      <c r="AF19" s="103">
        <f>AF12</f>
        <v>1196400</v>
      </c>
    </row>
    <row r="20" spans="1:32">
      <c r="A20" s="55"/>
      <c r="B20" s="55" t="s">
        <v>172</v>
      </c>
      <c r="C20" s="69">
        <f>Annahmen!I48</f>
        <v>0.21999199999999999</v>
      </c>
      <c r="D20" s="55"/>
      <c r="E20" s="55"/>
      <c r="F20" s="79"/>
      <c r="G20" s="105">
        <f>G19*$C$20</f>
        <v>18633.322400000001</v>
      </c>
      <c r="H20" s="105">
        <f>H19*$C$20</f>
        <v>18633.322400000001</v>
      </c>
      <c r="I20" s="105">
        <f>I19*$C$20</f>
        <v>18633.322400000001</v>
      </c>
      <c r="J20" s="105">
        <f>J19*$C$20</f>
        <v>18633.322400000001</v>
      </c>
      <c r="K20" s="105">
        <f>K19*$C$20</f>
        <v>18633.322400000001</v>
      </c>
      <c r="L20" s="105">
        <f>L19*$C$20</f>
        <v>18633.322400000001</v>
      </c>
      <c r="M20" s="105">
        <f>M19*$C$20</f>
        <v>18633.322400000001</v>
      </c>
      <c r="N20" s="105">
        <f>N19*$C$20</f>
        <v>18633.322400000001</v>
      </c>
      <c r="O20" s="105">
        <f>O19*$C$20</f>
        <v>18633.322400000001</v>
      </c>
      <c r="P20" s="105">
        <f>P19*$C$20</f>
        <v>18633.322400000001</v>
      </c>
      <c r="Q20" s="105">
        <f>Q19*$C$20</f>
        <v>18633.322400000001</v>
      </c>
      <c r="R20" s="105">
        <f>R19*$C$20</f>
        <v>18633.322400000001</v>
      </c>
      <c r="S20" s="105">
        <f>S19*$C$20</f>
        <v>223599.8688</v>
      </c>
      <c r="T20" s="105">
        <f>T19*$C$20</f>
        <v>21933.202399999998</v>
      </c>
      <c r="U20" s="105">
        <f>U19*$C$20</f>
        <v>21933.202399999998</v>
      </c>
      <c r="V20" s="105">
        <f>V19*$C$20</f>
        <v>21933.202399999998</v>
      </c>
      <c r="W20" s="105">
        <f>W19*$C$20</f>
        <v>21933.202399999998</v>
      </c>
      <c r="X20" s="105">
        <f>X19*$C$20</f>
        <v>21933.202399999998</v>
      </c>
      <c r="Y20" s="105">
        <f>Y19*$C$20</f>
        <v>21933.202399999998</v>
      </c>
      <c r="Z20" s="105">
        <f>Z19*$C$20</f>
        <v>21933.202399999998</v>
      </c>
      <c r="AA20" s="105">
        <f>AA19*$C$20</f>
        <v>21933.202399999998</v>
      </c>
      <c r="AB20" s="105">
        <f>AB19*$C$20</f>
        <v>21933.202399999998</v>
      </c>
      <c r="AC20" s="105">
        <f>AC19*$C$20</f>
        <v>21933.202399999998</v>
      </c>
      <c r="AD20" s="105">
        <f>AD19*$C$20</f>
        <v>21933.202399999998</v>
      </c>
      <c r="AE20" s="105">
        <f>AE19*$C$20</f>
        <v>21933.202399999998</v>
      </c>
      <c r="AF20" s="105">
        <f>AF19*$C$20</f>
        <v>263198.42879999999</v>
      </c>
    </row>
    <row r="21" spans="1:32">
      <c r="A21" s="64"/>
      <c r="B21" s="64" t="s">
        <v>173</v>
      </c>
      <c r="C21" s="70"/>
      <c r="D21" s="64"/>
      <c r="E21" s="64"/>
      <c r="F21" s="82"/>
      <c r="G21" s="108">
        <f>SUM(G19:G20)</f>
        <v>103333.3224</v>
      </c>
      <c r="H21" s="108">
        <f>SUM(H19:H20)</f>
        <v>103333.3224</v>
      </c>
      <c r="I21" s="108">
        <f>SUM(I19:I20)</f>
        <v>103333.3224</v>
      </c>
      <c r="J21" s="108">
        <f>SUM(J19:J20)</f>
        <v>103333.3224</v>
      </c>
      <c r="K21" s="108">
        <f>SUM(K19:K20)</f>
        <v>103333.3224</v>
      </c>
      <c r="L21" s="108">
        <f>SUM(L19:L20)</f>
        <v>103333.3224</v>
      </c>
      <c r="M21" s="108">
        <f>SUM(M19:M20)</f>
        <v>103333.3224</v>
      </c>
      <c r="N21" s="108">
        <f>SUM(N19:N20)</f>
        <v>103333.3224</v>
      </c>
      <c r="O21" s="108">
        <f>SUM(O19:O20)</f>
        <v>103333.3224</v>
      </c>
      <c r="P21" s="108">
        <f>SUM(P19:P20)</f>
        <v>103333.3224</v>
      </c>
      <c r="Q21" s="108">
        <f>SUM(Q19:Q20)</f>
        <v>103333.3224</v>
      </c>
      <c r="R21" s="108">
        <f>SUM(R19:R20)</f>
        <v>103333.3224</v>
      </c>
      <c r="S21" s="108">
        <f>SUM(S19:S20)</f>
        <v>1239999.8688000001</v>
      </c>
      <c r="T21" s="108">
        <f>SUM(T19:T20)</f>
        <v>121633.20239999999</v>
      </c>
      <c r="U21" s="108">
        <f>SUM(U19:U20)</f>
        <v>121633.20239999999</v>
      </c>
      <c r="V21" s="108">
        <f>SUM(V19:V20)</f>
        <v>121633.20239999999</v>
      </c>
      <c r="W21" s="108">
        <f>SUM(W19:W20)</f>
        <v>121633.20239999999</v>
      </c>
      <c r="X21" s="108">
        <f>SUM(X19:X20)</f>
        <v>121633.20239999999</v>
      </c>
      <c r="Y21" s="108">
        <f>SUM(Y19:Y20)</f>
        <v>121633.20239999999</v>
      </c>
      <c r="Z21" s="108">
        <f>SUM(Z19:Z20)</f>
        <v>121633.20239999999</v>
      </c>
      <c r="AA21" s="108">
        <f>SUM(AA19:AA20)</f>
        <v>121633.20239999999</v>
      </c>
      <c r="AB21" s="108">
        <f>SUM(AB19:AB20)</f>
        <v>121633.20239999999</v>
      </c>
      <c r="AC21" s="108">
        <f>SUM(AC19:AC20)</f>
        <v>121633.20239999999</v>
      </c>
      <c r="AD21" s="108">
        <f>SUM(AD19:AD20)</f>
        <v>121633.20239999999</v>
      </c>
      <c r="AE21" s="108">
        <f>SUM(AE19:AE20)</f>
        <v>121633.20239999999</v>
      </c>
      <c r="AF21" s="108">
        <f>SUM(AF19:AF20)</f>
        <v>1459598.4287999999</v>
      </c>
    </row>
  </sheetData>
  <mergeCells count="4">
    <mergeCell ref="A4:C4"/>
    <mergeCell ref="E2:F3"/>
    <mergeCell ref="A13:C13"/>
    <mergeCell ref="A18:C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D23B-F649-4B7B-8294-937E0566E478}">
  <dimension ref="A1:AA6"/>
  <sheetViews>
    <sheetView workbookViewId="0">
      <selection activeCell="U12" sqref="U12"/>
    </sheetView>
  </sheetViews>
  <sheetFormatPr defaultRowHeight="15" outlineLevelCol="1"/>
  <cols>
    <col min="1" max="1" width="22" customWidth="1"/>
    <col min="2" max="2" width="9.28515625" style="63" customWidth="1" outlineLevel="1"/>
    <col min="3" max="13" width="9.28515625" style="40" customWidth="1" outlineLevel="1"/>
    <col min="14" max="14" width="13.5703125" style="67" customWidth="1"/>
    <col min="15" max="18" width="9.140625" customWidth="1" outlineLevel="1"/>
    <col min="19" max="19" width="9.5703125" customWidth="1" outlineLevel="1"/>
    <col min="20" max="22" width="9.140625" customWidth="1" outlineLevel="1"/>
    <col min="23" max="23" width="9.5703125" customWidth="1" outlineLevel="1"/>
    <col min="24" max="26" width="9.140625" customWidth="1" outlineLevel="1"/>
    <col min="27" max="27" width="12.28515625" style="67" customWidth="1"/>
  </cols>
  <sheetData>
    <row r="1" spans="1:27">
      <c r="B1" s="72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71" t="s">
        <v>110</v>
      </c>
      <c r="O1" s="72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71" t="s">
        <v>110</v>
      </c>
    </row>
    <row r="2" spans="1:27" s="66" customFormat="1">
      <c r="A2" s="66" t="s">
        <v>174</v>
      </c>
      <c r="B2" s="73" t="s">
        <v>112</v>
      </c>
      <c r="C2" s="74" t="s">
        <v>113</v>
      </c>
      <c r="D2" s="74" t="s">
        <v>156</v>
      </c>
      <c r="E2" s="74" t="s">
        <v>115</v>
      </c>
      <c r="F2" s="74" t="s">
        <v>157</v>
      </c>
      <c r="G2" s="74" t="s">
        <v>117</v>
      </c>
      <c r="H2" s="74" t="s">
        <v>118</v>
      </c>
      <c r="I2" s="74" t="s">
        <v>119</v>
      </c>
      <c r="J2" s="74" t="s">
        <v>120</v>
      </c>
      <c r="K2" s="74" t="s">
        <v>158</v>
      </c>
      <c r="L2" s="74" t="s">
        <v>122</v>
      </c>
      <c r="M2" s="74" t="s">
        <v>159</v>
      </c>
      <c r="N2" s="71">
        <v>2025</v>
      </c>
      <c r="O2" s="73" t="s">
        <v>112</v>
      </c>
      <c r="P2" s="74" t="s">
        <v>113</v>
      </c>
      <c r="Q2" s="74" t="s">
        <v>156</v>
      </c>
      <c r="R2" s="74" t="s">
        <v>115</v>
      </c>
      <c r="S2" s="74" t="s">
        <v>157</v>
      </c>
      <c r="T2" s="74" t="s">
        <v>117</v>
      </c>
      <c r="U2" s="74" t="s">
        <v>118</v>
      </c>
      <c r="V2" s="74" t="s">
        <v>119</v>
      </c>
      <c r="W2" s="74" t="s">
        <v>120</v>
      </c>
      <c r="X2" s="74" t="s">
        <v>158</v>
      </c>
      <c r="Y2" s="74" t="s">
        <v>122</v>
      </c>
      <c r="Z2" s="74" t="s">
        <v>159</v>
      </c>
      <c r="AA2" s="71">
        <v>2026</v>
      </c>
    </row>
    <row r="3" spans="1:27">
      <c r="B3" s="72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71"/>
      <c r="O3" s="72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71"/>
    </row>
    <row r="4" spans="1:27">
      <c r="A4" t="s">
        <v>175</v>
      </c>
      <c r="B4" s="75">
        <f>Annahmen!H60</f>
        <v>7.2999999999999995E-2</v>
      </c>
      <c r="C4" s="76">
        <f>Annahmen!I60</f>
        <v>6.0999999999999999E-2</v>
      </c>
      <c r="D4" s="76">
        <f>Annahmen!J60</f>
        <v>7.0000000000000007E-2</v>
      </c>
      <c r="E4" s="76">
        <f>Annahmen!K60</f>
        <v>6.4000000000000001E-2</v>
      </c>
      <c r="F4" s="76">
        <f>Annahmen!L60</f>
        <v>0.23699999999999999</v>
      </c>
      <c r="G4" s="76">
        <f>Annahmen!M60</f>
        <v>6.2E-2</v>
      </c>
      <c r="H4" s="76">
        <f>Annahmen!N60</f>
        <v>7.1999999999999995E-2</v>
      </c>
      <c r="I4" s="76">
        <f>Annahmen!O60</f>
        <v>6.0999999999999999E-2</v>
      </c>
      <c r="J4" s="76">
        <f>Annahmen!P60</f>
        <v>0.105</v>
      </c>
      <c r="K4" s="76">
        <f>Annahmen!Q60</f>
        <v>6.4000000000000001E-2</v>
      </c>
      <c r="L4" s="76">
        <f>Annahmen!R60</f>
        <v>7.0000000000000007E-2</v>
      </c>
      <c r="M4" s="76">
        <f>Annahmen!S60</f>
        <v>6.0999999999999999E-2</v>
      </c>
      <c r="N4" s="100">
        <f>SUM(B4:M4)</f>
        <v>1</v>
      </c>
      <c r="O4" s="102">
        <f>Annahmen!H60</f>
        <v>7.2999999999999995E-2</v>
      </c>
      <c r="P4" s="102">
        <f>Annahmen!I60</f>
        <v>6.0999999999999999E-2</v>
      </c>
      <c r="Q4" s="102">
        <f>Annahmen!J60</f>
        <v>7.0000000000000007E-2</v>
      </c>
      <c r="R4" s="102">
        <f>Annahmen!K60</f>
        <v>6.4000000000000001E-2</v>
      </c>
      <c r="S4" s="102">
        <f>Annahmen!L60</f>
        <v>0.23699999999999999</v>
      </c>
      <c r="T4" s="102">
        <f>Annahmen!M60</f>
        <v>6.2E-2</v>
      </c>
      <c r="U4" s="102">
        <f>Annahmen!N60</f>
        <v>7.1999999999999995E-2</v>
      </c>
      <c r="V4" s="102">
        <f>Annahmen!O60</f>
        <v>6.0999999999999999E-2</v>
      </c>
      <c r="W4" s="102">
        <f>Annahmen!P60</f>
        <v>0.105</v>
      </c>
      <c r="X4" s="102">
        <f>Annahmen!Q60</f>
        <v>6.4000000000000001E-2</v>
      </c>
      <c r="Y4" s="102">
        <f>Annahmen!R60</f>
        <v>7.0000000000000007E-2</v>
      </c>
      <c r="Z4" s="102">
        <f>Annahmen!S60</f>
        <v>6.0999999999999999E-2</v>
      </c>
      <c r="AA4" s="100">
        <f>SUM(O4:Z4)</f>
        <v>1</v>
      </c>
    </row>
    <row r="5" spans="1:27">
      <c r="A5" s="5" t="s">
        <v>128</v>
      </c>
      <c r="B5" s="84">
        <f>$N$5/12</f>
        <v>3750</v>
      </c>
      <c r="C5" s="85">
        <f>$N$5/12</f>
        <v>3750</v>
      </c>
      <c r="D5" s="85">
        <f>$N$5/12</f>
        <v>3750</v>
      </c>
      <c r="E5" s="85">
        <f>$N$5/12</f>
        <v>3750</v>
      </c>
      <c r="F5" s="85">
        <f>$N$5/12</f>
        <v>3750</v>
      </c>
      <c r="G5" s="85">
        <f>$N$5/12</f>
        <v>3750</v>
      </c>
      <c r="H5" s="85">
        <f>$N$5/12</f>
        <v>3750</v>
      </c>
      <c r="I5" s="85">
        <f>$N$5/12</f>
        <v>3750</v>
      </c>
      <c r="J5" s="85">
        <f>$N$5/12</f>
        <v>3750</v>
      </c>
      <c r="K5" s="85">
        <f>$N$5/12</f>
        <v>3750</v>
      </c>
      <c r="L5" s="85">
        <f>$N$5/12</f>
        <v>3750</v>
      </c>
      <c r="M5" s="85">
        <f>$N$5/12</f>
        <v>3750</v>
      </c>
      <c r="N5" s="99">
        <f>Annahmen!E59</f>
        <v>45000</v>
      </c>
      <c r="O5" s="103">
        <f>$AA$5/12</f>
        <v>3750</v>
      </c>
      <c r="P5" s="103">
        <f t="shared" ref="P5:Z5" si="0">$AA$5/12</f>
        <v>3750</v>
      </c>
      <c r="Q5" s="103">
        <f t="shared" si="0"/>
        <v>3750</v>
      </c>
      <c r="R5" s="103">
        <f t="shared" si="0"/>
        <v>3750</v>
      </c>
      <c r="S5" s="103">
        <f t="shared" si="0"/>
        <v>3750</v>
      </c>
      <c r="T5" s="103">
        <f t="shared" si="0"/>
        <v>3750</v>
      </c>
      <c r="U5" s="103">
        <f t="shared" si="0"/>
        <v>3750</v>
      </c>
      <c r="V5" s="103">
        <f t="shared" si="0"/>
        <v>3750</v>
      </c>
      <c r="W5" s="103">
        <f t="shared" si="0"/>
        <v>3750</v>
      </c>
      <c r="X5" s="103">
        <f t="shared" si="0"/>
        <v>3750</v>
      </c>
      <c r="Y5" s="103">
        <f t="shared" si="0"/>
        <v>3750</v>
      </c>
      <c r="Z5" s="103">
        <f t="shared" si="0"/>
        <v>3750</v>
      </c>
      <c r="AA5" s="99">
        <f>Annahmen!E59</f>
        <v>45000</v>
      </c>
    </row>
    <row r="6" spans="1:27">
      <c r="A6" s="5" t="s">
        <v>84</v>
      </c>
      <c r="B6" s="84">
        <f>Annahmen!H61</f>
        <v>7299.9999999999991</v>
      </c>
      <c r="C6" s="85">
        <f>Annahmen!I61</f>
        <v>6100</v>
      </c>
      <c r="D6" s="85">
        <f>Annahmen!J61</f>
        <v>7000.0000000000009</v>
      </c>
      <c r="E6" s="85">
        <f>Annahmen!K61</f>
        <v>6400</v>
      </c>
      <c r="F6" s="85">
        <f>Annahmen!L61</f>
        <v>23700</v>
      </c>
      <c r="G6" s="85">
        <f>Annahmen!M61</f>
        <v>6200</v>
      </c>
      <c r="H6" s="85">
        <f>Annahmen!N61</f>
        <v>7199.9999999999991</v>
      </c>
      <c r="I6" s="85">
        <f>Annahmen!O61</f>
        <v>6100</v>
      </c>
      <c r="J6" s="85">
        <f>Annahmen!P61</f>
        <v>10500</v>
      </c>
      <c r="K6" s="85">
        <f>Annahmen!Q61</f>
        <v>6400</v>
      </c>
      <c r="L6" s="85">
        <f>Annahmen!R61</f>
        <v>7000.0000000000009</v>
      </c>
      <c r="M6" s="85">
        <f>Annahmen!S61</f>
        <v>6100</v>
      </c>
      <c r="N6" s="99">
        <f>Annahmen!E60</f>
        <v>100000</v>
      </c>
      <c r="O6" s="103">
        <f>Annahmen!H61</f>
        <v>7299.9999999999991</v>
      </c>
      <c r="P6" s="103">
        <f>Annahmen!I61</f>
        <v>6100</v>
      </c>
      <c r="Q6" s="103">
        <f>Annahmen!J61</f>
        <v>7000.0000000000009</v>
      </c>
      <c r="R6" s="103">
        <f>Annahmen!K61</f>
        <v>6400</v>
      </c>
      <c r="S6" s="103">
        <f>Annahmen!L61</f>
        <v>23700</v>
      </c>
      <c r="T6" s="103">
        <f>Annahmen!M61</f>
        <v>6200</v>
      </c>
      <c r="U6" s="103">
        <f>Annahmen!N61</f>
        <v>7199.9999999999991</v>
      </c>
      <c r="V6" s="103">
        <f>Annahmen!O61</f>
        <v>6100</v>
      </c>
      <c r="W6" s="103">
        <f>Annahmen!P61</f>
        <v>10500</v>
      </c>
      <c r="X6" s="103">
        <f>Annahmen!Q61</f>
        <v>6400</v>
      </c>
      <c r="Y6" s="103">
        <f>Annahmen!R61</f>
        <v>7000.0000000000009</v>
      </c>
      <c r="Z6" s="103">
        <f>Annahmen!S61</f>
        <v>6100</v>
      </c>
      <c r="AA6" s="99">
        <f>Annahmen!E60</f>
        <v>100000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90DA-86E1-4EDC-BA50-86DC068FB621}">
  <dimension ref="A1:CO23"/>
  <sheetViews>
    <sheetView topLeftCell="A2" workbookViewId="0">
      <selection activeCell="B12" sqref="B12"/>
    </sheetView>
  </sheetViews>
  <sheetFormatPr defaultColWidth="9.140625" defaultRowHeight="15" outlineLevelCol="1"/>
  <cols>
    <col min="1" max="1" width="13.28515625" customWidth="1"/>
    <col min="2" max="2" width="12" customWidth="1"/>
    <col min="3" max="3" width="11.85546875" customWidth="1" outlineLevel="1"/>
    <col min="4" max="4" width="12.140625" customWidth="1" outlineLevel="1"/>
    <col min="5" max="5" width="11.7109375" customWidth="1" outlineLevel="1"/>
    <col min="6" max="6" width="12.28515625" customWidth="1" outlineLevel="1"/>
    <col min="7" max="7" width="11.7109375" customWidth="1" outlineLevel="1"/>
    <col min="8" max="8" width="11.85546875" customWidth="1" outlineLevel="1"/>
    <col min="9" max="9" width="11.42578125" customWidth="1" outlineLevel="1"/>
    <col min="10" max="10" width="12.7109375" customWidth="1" outlineLevel="1"/>
    <col min="11" max="11" width="12.5703125" customWidth="1" outlineLevel="1"/>
    <col min="12" max="12" width="13.28515625" customWidth="1" outlineLevel="1"/>
    <col min="13" max="13" width="12.42578125" customWidth="1" outlineLevel="1"/>
    <col min="14" max="14" width="13.42578125" customWidth="1" outlineLevel="1"/>
    <col min="15" max="15" width="12.5703125" customWidth="1"/>
    <col min="16" max="16" width="12.28515625" hidden="1" customWidth="1" outlineLevel="1"/>
    <col min="17" max="17" width="11.85546875" hidden="1" customWidth="1" outlineLevel="1"/>
    <col min="18" max="18" width="10.85546875" hidden="1" customWidth="1" outlineLevel="1"/>
    <col min="19" max="19" width="11.140625" hidden="1" customWidth="1" outlineLevel="1"/>
    <col min="20" max="20" width="11" hidden="1" customWidth="1" outlineLevel="1"/>
    <col min="21" max="21" width="10.85546875" hidden="1" customWidth="1" outlineLevel="1"/>
    <col min="22" max="22" width="11.5703125" hidden="1" customWidth="1" outlineLevel="1"/>
    <col min="23" max="23" width="11.42578125" hidden="1" customWidth="1" outlineLevel="1"/>
    <col min="24" max="24" width="11.85546875" hidden="1" customWidth="1" outlineLevel="1"/>
    <col min="25" max="25" width="11.5703125" hidden="1" customWidth="1" outlineLevel="1"/>
    <col min="26" max="26" width="11.140625" hidden="1" customWidth="1" outlineLevel="1"/>
    <col min="27" max="27" width="10.5703125" hidden="1" customWidth="1" outlineLevel="1"/>
    <col min="28" max="28" width="11.7109375" customWidth="1" collapsed="1"/>
    <col min="29" max="29" width="10.7109375" hidden="1" customWidth="1" outlineLevel="1"/>
    <col min="30" max="30" width="11.28515625" hidden="1" customWidth="1" outlineLevel="1"/>
    <col min="31" max="31" width="11.42578125" hidden="1" customWidth="1" outlineLevel="1"/>
    <col min="32" max="34" width="10.85546875" hidden="1" customWidth="1" outlineLevel="1"/>
    <col min="35" max="35" width="11.28515625" hidden="1" customWidth="1" outlineLevel="1"/>
    <col min="36" max="36" width="11.140625" hidden="1" customWidth="1" outlineLevel="1"/>
    <col min="37" max="37" width="11.42578125" hidden="1" customWidth="1" outlineLevel="1"/>
    <col min="38" max="39" width="11" hidden="1" customWidth="1" outlineLevel="1"/>
    <col min="40" max="40" width="10.5703125" hidden="1" customWidth="1" outlineLevel="1"/>
    <col min="41" max="41" width="9.7109375" customWidth="1" collapsed="1"/>
    <col min="42" max="42" width="11.85546875" customWidth="1" outlineLevel="1"/>
    <col min="43" max="43" width="11.28515625" customWidth="1" outlineLevel="1"/>
    <col min="44" max="44" width="10.85546875" customWidth="1" outlineLevel="1"/>
    <col min="45" max="46" width="11.140625" customWidth="1" outlineLevel="1"/>
    <col min="47" max="48" width="11.28515625" customWidth="1" outlineLevel="1"/>
    <col min="49" max="49" width="11" customWidth="1" outlineLevel="1"/>
    <col min="50" max="50" width="11.28515625" customWidth="1" outlineLevel="1"/>
    <col min="51" max="52" width="11.140625" customWidth="1" outlineLevel="1"/>
    <col min="53" max="53" width="12.28515625" customWidth="1" outlineLevel="1"/>
    <col min="54" max="54" width="9.85546875" customWidth="1"/>
    <col min="55" max="56" width="10.85546875" customWidth="1" outlineLevel="1"/>
    <col min="57" max="57" width="10.5703125" customWidth="1" outlineLevel="1"/>
    <col min="58" max="58" width="11.42578125" customWidth="1" outlineLevel="1"/>
    <col min="59" max="59" width="11.85546875" customWidth="1" outlineLevel="1"/>
    <col min="60" max="60" width="12.28515625" customWidth="1" outlineLevel="1"/>
    <col min="61" max="61" width="11.85546875" customWidth="1" outlineLevel="1"/>
    <col min="62" max="62" width="13" customWidth="1" outlineLevel="1"/>
    <col min="63" max="63" width="12.5703125" customWidth="1" outlineLevel="1"/>
    <col min="64" max="64" width="12" customWidth="1" outlineLevel="1"/>
    <col min="65" max="65" width="12.7109375" customWidth="1" outlineLevel="1"/>
    <col min="66" max="66" width="11.140625" customWidth="1" outlineLevel="1"/>
    <col min="67" max="67" width="9.85546875" customWidth="1"/>
    <col min="68" max="68" width="11.140625" customWidth="1" outlineLevel="1"/>
    <col min="69" max="69" width="11.28515625" customWidth="1" outlineLevel="1"/>
    <col min="70" max="70" width="11.85546875" customWidth="1" outlineLevel="1"/>
    <col min="71" max="71" width="10.7109375" customWidth="1" outlineLevel="1"/>
    <col min="72" max="72" width="11" customWidth="1" outlineLevel="1"/>
    <col min="73" max="73" width="11.42578125" customWidth="1" outlineLevel="1"/>
    <col min="74" max="74" width="11.140625" customWidth="1" outlineLevel="1"/>
    <col min="75" max="75" width="11" customWidth="1" outlineLevel="1"/>
    <col min="76" max="76" width="10.5703125" customWidth="1" outlineLevel="1"/>
    <col min="77" max="77" width="10.7109375" customWidth="1" outlineLevel="1"/>
    <col min="78" max="78" width="11.42578125" customWidth="1" outlineLevel="1"/>
    <col min="79" max="79" width="10.5703125" customWidth="1" outlineLevel="1"/>
    <col min="80" max="80" width="12.140625" customWidth="1"/>
    <col min="81" max="81" width="11.85546875" customWidth="1"/>
    <col min="82" max="82" width="12.42578125" customWidth="1"/>
    <col min="83" max="83" width="12.5703125" customWidth="1"/>
    <col min="84" max="85" width="11.85546875" customWidth="1"/>
    <col min="86" max="86" width="12.5703125" customWidth="1"/>
    <col min="87" max="88" width="12.140625" customWidth="1"/>
    <col min="89" max="89" width="12.42578125" customWidth="1"/>
    <col min="90" max="90" width="12.28515625" customWidth="1"/>
    <col min="91" max="91" width="12.7109375" customWidth="1"/>
    <col min="92" max="92" width="11.5703125" customWidth="1"/>
  </cols>
  <sheetData>
    <row r="1" spans="1:93">
      <c r="B1" s="83" t="s">
        <v>176</v>
      </c>
      <c r="C1" s="217" t="s">
        <v>112</v>
      </c>
      <c r="D1" s="217" t="s">
        <v>113</v>
      </c>
      <c r="E1" s="217" t="s">
        <v>156</v>
      </c>
      <c r="F1" s="217" t="s">
        <v>115</v>
      </c>
      <c r="G1" s="217" t="s">
        <v>157</v>
      </c>
      <c r="H1" s="217" t="s">
        <v>117</v>
      </c>
      <c r="I1" s="217" t="s">
        <v>118</v>
      </c>
      <c r="J1" s="217" t="s">
        <v>119</v>
      </c>
      <c r="K1" s="217" t="s">
        <v>120</v>
      </c>
      <c r="L1" s="217" t="s">
        <v>158</v>
      </c>
      <c r="M1" s="217" t="s">
        <v>122</v>
      </c>
      <c r="N1" s="217" t="s">
        <v>159</v>
      </c>
      <c r="O1" s="93" t="s">
        <v>110</v>
      </c>
      <c r="P1" s="217" t="s">
        <v>112</v>
      </c>
      <c r="Q1" s="217" t="s">
        <v>113</v>
      </c>
      <c r="R1" s="217" t="s">
        <v>156</v>
      </c>
      <c r="S1" s="217" t="s">
        <v>115</v>
      </c>
      <c r="T1" s="217" t="s">
        <v>157</v>
      </c>
      <c r="U1" s="217" t="s">
        <v>117</v>
      </c>
      <c r="V1" s="217" t="s">
        <v>118</v>
      </c>
      <c r="W1" s="217" t="s">
        <v>119</v>
      </c>
      <c r="X1" s="217" t="s">
        <v>120</v>
      </c>
      <c r="Y1" s="217" t="s">
        <v>158</v>
      </c>
      <c r="Z1" s="217" t="s">
        <v>122</v>
      </c>
      <c r="AA1" s="217" t="s">
        <v>159</v>
      </c>
      <c r="AB1" s="93" t="s">
        <v>110</v>
      </c>
      <c r="AC1" s="217" t="s">
        <v>112</v>
      </c>
      <c r="AD1" s="217" t="s">
        <v>113</v>
      </c>
      <c r="AE1" s="217" t="s">
        <v>156</v>
      </c>
      <c r="AF1" s="217" t="s">
        <v>115</v>
      </c>
      <c r="AG1" s="217" t="s">
        <v>157</v>
      </c>
      <c r="AH1" s="217" t="s">
        <v>117</v>
      </c>
      <c r="AI1" s="217" t="s">
        <v>118</v>
      </c>
      <c r="AJ1" s="217" t="s">
        <v>119</v>
      </c>
      <c r="AK1" s="217" t="s">
        <v>120</v>
      </c>
      <c r="AL1" s="217" t="s">
        <v>158</v>
      </c>
      <c r="AM1" s="217" t="s">
        <v>122</v>
      </c>
      <c r="AN1" s="217" t="s">
        <v>159</v>
      </c>
      <c r="AO1" s="93" t="s">
        <v>110</v>
      </c>
      <c r="AP1" s="217" t="s">
        <v>112</v>
      </c>
      <c r="AQ1" s="217" t="s">
        <v>113</v>
      </c>
      <c r="AR1" s="217" t="s">
        <v>156</v>
      </c>
      <c r="AS1" s="217" t="s">
        <v>115</v>
      </c>
      <c r="AT1" s="217" t="s">
        <v>157</v>
      </c>
      <c r="AU1" s="217" t="s">
        <v>117</v>
      </c>
      <c r="AV1" s="217" t="s">
        <v>118</v>
      </c>
      <c r="AW1" s="217" t="s">
        <v>119</v>
      </c>
      <c r="AX1" s="217" t="s">
        <v>120</v>
      </c>
      <c r="AY1" s="217" t="s">
        <v>158</v>
      </c>
      <c r="AZ1" s="217" t="s">
        <v>122</v>
      </c>
      <c r="BA1" s="217" t="s">
        <v>159</v>
      </c>
      <c r="BB1" s="93" t="s">
        <v>110</v>
      </c>
      <c r="BC1" s="217" t="s">
        <v>112</v>
      </c>
      <c r="BD1" s="217" t="s">
        <v>113</v>
      </c>
      <c r="BE1" s="217" t="s">
        <v>156</v>
      </c>
      <c r="BF1" s="217" t="s">
        <v>115</v>
      </c>
      <c r="BG1" s="217" t="s">
        <v>157</v>
      </c>
      <c r="BH1" s="217" t="s">
        <v>117</v>
      </c>
      <c r="BI1" s="217" t="s">
        <v>118</v>
      </c>
      <c r="BJ1" s="217" t="s">
        <v>119</v>
      </c>
      <c r="BK1" s="217" t="s">
        <v>120</v>
      </c>
      <c r="BL1" s="217" t="s">
        <v>158</v>
      </c>
      <c r="BM1" s="217" t="s">
        <v>122</v>
      </c>
      <c r="BN1" s="217" t="s">
        <v>159</v>
      </c>
      <c r="BO1" s="93" t="s">
        <v>110</v>
      </c>
      <c r="BP1" s="217" t="s">
        <v>112</v>
      </c>
      <c r="BQ1" s="217" t="s">
        <v>113</v>
      </c>
      <c r="BR1" s="217" t="s">
        <v>156</v>
      </c>
      <c r="BS1" s="217" t="s">
        <v>115</v>
      </c>
      <c r="BT1" s="217" t="s">
        <v>157</v>
      </c>
      <c r="BU1" s="217" t="s">
        <v>117</v>
      </c>
      <c r="BV1" s="217" t="s">
        <v>118</v>
      </c>
      <c r="BW1" s="217" t="s">
        <v>119</v>
      </c>
      <c r="BX1" s="217" t="s">
        <v>120</v>
      </c>
      <c r="BY1" s="217" t="s">
        <v>158</v>
      </c>
      <c r="BZ1" s="217" t="s">
        <v>122</v>
      </c>
      <c r="CA1" s="217" t="s">
        <v>159</v>
      </c>
      <c r="CB1" s="93" t="s">
        <v>110</v>
      </c>
    </row>
    <row r="2" spans="1:93">
      <c r="B2" s="83" t="s">
        <v>177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94">
        <v>2025</v>
      </c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94">
        <v>2026</v>
      </c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94">
        <v>2027</v>
      </c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94">
        <v>2028</v>
      </c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94">
        <v>2029</v>
      </c>
      <c r="BP2" s="217"/>
      <c r="BQ2" s="217"/>
      <c r="BR2" s="217"/>
      <c r="BS2" s="217"/>
      <c r="BT2" s="217"/>
      <c r="BU2" s="217"/>
      <c r="BV2" s="217"/>
      <c r="BW2" s="217"/>
      <c r="BX2" s="217"/>
      <c r="BY2" s="217"/>
      <c r="BZ2" s="217"/>
      <c r="CA2" s="217"/>
      <c r="CB2" s="94">
        <v>2030</v>
      </c>
    </row>
    <row r="3" spans="1:93">
      <c r="O3" s="95"/>
      <c r="AB3" s="95"/>
      <c r="AO3" s="95"/>
      <c r="BB3" s="95"/>
      <c r="BO3" s="95"/>
      <c r="CB3" s="95"/>
    </row>
    <row r="4" spans="1:93">
      <c r="A4" s="87" t="s">
        <v>178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9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9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9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9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9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95"/>
    </row>
    <row r="5" spans="1:93">
      <c r="A5" t="s">
        <v>179</v>
      </c>
      <c r="B5" s="1">
        <f>B7/12/Annahmen!C18</f>
        <v>833.33333333333337</v>
      </c>
      <c r="C5" s="1">
        <f>$B$5</f>
        <v>833.33333333333337</v>
      </c>
      <c r="D5" s="1">
        <f t="shared" ref="D5:N5" si="0">$B$5</f>
        <v>833.33333333333337</v>
      </c>
      <c r="E5" s="1">
        <f t="shared" si="0"/>
        <v>833.33333333333337</v>
      </c>
      <c r="F5" s="1">
        <f t="shared" si="0"/>
        <v>833.33333333333337</v>
      </c>
      <c r="G5" s="1">
        <f t="shared" si="0"/>
        <v>833.33333333333337</v>
      </c>
      <c r="H5" s="1">
        <f t="shared" si="0"/>
        <v>833.33333333333337</v>
      </c>
      <c r="I5" s="1">
        <f t="shared" si="0"/>
        <v>833.33333333333337</v>
      </c>
      <c r="J5" s="1">
        <f t="shared" si="0"/>
        <v>833.33333333333337</v>
      </c>
      <c r="K5" s="1">
        <f t="shared" si="0"/>
        <v>833.33333333333337</v>
      </c>
      <c r="L5" s="1">
        <f t="shared" si="0"/>
        <v>833.33333333333337</v>
      </c>
      <c r="M5" s="1">
        <f t="shared" si="0"/>
        <v>833.33333333333337</v>
      </c>
      <c r="N5" s="1">
        <f t="shared" si="0"/>
        <v>833.33333333333337</v>
      </c>
      <c r="O5" s="96">
        <f>SUM(C5:N5)</f>
        <v>10000</v>
      </c>
      <c r="P5" s="1">
        <f>$B$5</f>
        <v>833.33333333333337</v>
      </c>
      <c r="Q5" s="1">
        <f t="shared" ref="Q5:AA5" si="1">$B$5</f>
        <v>833.33333333333337</v>
      </c>
      <c r="R5" s="1">
        <f t="shared" si="1"/>
        <v>833.33333333333337</v>
      </c>
      <c r="S5" s="1">
        <f t="shared" si="1"/>
        <v>833.33333333333337</v>
      </c>
      <c r="T5" s="1">
        <f t="shared" si="1"/>
        <v>833.33333333333337</v>
      </c>
      <c r="U5" s="1">
        <f t="shared" si="1"/>
        <v>833.33333333333337</v>
      </c>
      <c r="V5" s="1">
        <f t="shared" si="1"/>
        <v>833.33333333333337</v>
      </c>
      <c r="W5" s="1">
        <f t="shared" si="1"/>
        <v>833.33333333333337</v>
      </c>
      <c r="X5" s="1">
        <f t="shared" si="1"/>
        <v>833.33333333333337</v>
      </c>
      <c r="Y5" s="1">
        <f t="shared" si="1"/>
        <v>833.33333333333337</v>
      </c>
      <c r="Z5" s="1">
        <f t="shared" si="1"/>
        <v>833.33333333333337</v>
      </c>
      <c r="AA5" s="1">
        <f t="shared" si="1"/>
        <v>833.33333333333337</v>
      </c>
      <c r="AB5" s="96">
        <f>SUM(P5:AA5)</f>
        <v>10000</v>
      </c>
      <c r="AC5" s="1">
        <f>$B$5</f>
        <v>833.33333333333337</v>
      </c>
      <c r="AD5" s="1">
        <f t="shared" ref="AD5:AN5" si="2">$B$5</f>
        <v>833.33333333333337</v>
      </c>
      <c r="AE5" s="1">
        <f t="shared" si="2"/>
        <v>833.33333333333337</v>
      </c>
      <c r="AF5" s="1">
        <f t="shared" si="2"/>
        <v>833.33333333333337</v>
      </c>
      <c r="AG5" s="1">
        <f t="shared" si="2"/>
        <v>833.33333333333337</v>
      </c>
      <c r="AH5" s="1">
        <f t="shared" si="2"/>
        <v>833.33333333333337</v>
      </c>
      <c r="AI5" s="1">
        <f t="shared" si="2"/>
        <v>833.33333333333337</v>
      </c>
      <c r="AJ5" s="1">
        <f t="shared" si="2"/>
        <v>833.33333333333337</v>
      </c>
      <c r="AK5" s="1">
        <f t="shared" si="2"/>
        <v>833.33333333333337</v>
      </c>
      <c r="AL5" s="1">
        <f t="shared" si="2"/>
        <v>833.33333333333337</v>
      </c>
      <c r="AM5" s="1">
        <f t="shared" si="2"/>
        <v>833.33333333333337</v>
      </c>
      <c r="AN5" s="1">
        <f t="shared" si="2"/>
        <v>833.33333333333337</v>
      </c>
      <c r="AO5" s="96">
        <f>SUM(AC5:AN5)</f>
        <v>10000</v>
      </c>
      <c r="AP5" s="1">
        <f>$B$5</f>
        <v>833.33333333333337</v>
      </c>
      <c r="AQ5" s="1">
        <f t="shared" ref="AQ5:BA5" si="3">$B$5</f>
        <v>833.33333333333337</v>
      </c>
      <c r="AR5" s="1">
        <f t="shared" si="3"/>
        <v>833.33333333333337</v>
      </c>
      <c r="AS5" s="1">
        <f t="shared" si="3"/>
        <v>833.33333333333337</v>
      </c>
      <c r="AT5" s="1">
        <f t="shared" si="3"/>
        <v>833.33333333333337</v>
      </c>
      <c r="AU5" s="1">
        <f t="shared" si="3"/>
        <v>833.33333333333337</v>
      </c>
      <c r="AV5" s="1">
        <f t="shared" si="3"/>
        <v>833.33333333333337</v>
      </c>
      <c r="AW5" s="1">
        <f t="shared" si="3"/>
        <v>833.33333333333337</v>
      </c>
      <c r="AX5" s="1">
        <f t="shared" si="3"/>
        <v>833.33333333333337</v>
      </c>
      <c r="AY5" s="1">
        <f t="shared" si="3"/>
        <v>833.33333333333337</v>
      </c>
      <c r="AZ5" s="1">
        <f t="shared" si="3"/>
        <v>833.33333333333337</v>
      </c>
      <c r="BA5" s="1">
        <f t="shared" si="3"/>
        <v>833.33333333333337</v>
      </c>
      <c r="BB5" s="96">
        <f>SUM(AP5:BA5)</f>
        <v>10000</v>
      </c>
      <c r="BC5" s="1">
        <f>$B$5</f>
        <v>833.33333333333337</v>
      </c>
      <c r="BD5" s="1">
        <f t="shared" ref="BD5:BN5" si="4">$B$5</f>
        <v>833.33333333333337</v>
      </c>
      <c r="BE5" s="1">
        <f t="shared" si="4"/>
        <v>833.33333333333337</v>
      </c>
      <c r="BF5" s="1">
        <f t="shared" si="4"/>
        <v>833.33333333333337</v>
      </c>
      <c r="BG5" s="1">
        <f t="shared" si="4"/>
        <v>833.33333333333337</v>
      </c>
      <c r="BH5" s="1">
        <f t="shared" si="4"/>
        <v>833.33333333333337</v>
      </c>
      <c r="BI5" s="1">
        <f t="shared" si="4"/>
        <v>833.33333333333337</v>
      </c>
      <c r="BJ5" s="1">
        <f t="shared" si="4"/>
        <v>833.33333333333337</v>
      </c>
      <c r="BK5" s="1">
        <f t="shared" si="4"/>
        <v>833.33333333333337</v>
      </c>
      <c r="BL5" s="1">
        <f t="shared" si="4"/>
        <v>833.33333333333337</v>
      </c>
      <c r="BM5" s="1">
        <f t="shared" si="4"/>
        <v>833.33333333333337</v>
      </c>
      <c r="BN5" s="1">
        <f t="shared" si="4"/>
        <v>833.33333333333337</v>
      </c>
      <c r="BO5" s="96">
        <f>SUM(BC5:BN5)</f>
        <v>10000</v>
      </c>
      <c r="BP5" s="1">
        <f>$B$5</f>
        <v>833.33333333333337</v>
      </c>
      <c r="BQ5" s="1">
        <f t="shared" ref="BQ5:CA5" si="5">$B$5</f>
        <v>833.33333333333337</v>
      </c>
      <c r="BR5" s="1">
        <f t="shared" si="5"/>
        <v>833.33333333333337</v>
      </c>
      <c r="BS5" s="1">
        <f t="shared" si="5"/>
        <v>833.33333333333337</v>
      </c>
      <c r="BT5" s="1">
        <f t="shared" si="5"/>
        <v>833.33333333333337</v>
      </c>
      <c r="BU5" s="1">
        <f t="shared" si="5"/>
        <v>833.33333333333337</v>
      </c>
      <c r="BV5" s="1">
        <f t="shared" si="5"/>
        <v>833.33333333333337</v>
      </c>
      <c r="BW5" s="1">
        <f t="shared" si="5"/>
        <v>833.33333333333337</v>
      </c>
      <c r="BX5" s="1">
        <f t="shared" si="5"/>
        <v>833.33333333333337</v>
      </c>
      <c r="BY5" s="1">
        <f t="shared" si="5"/>
        <v>833.33333333333337</v>
      </c>
      <c r="BZ5" s="1">
        <f t="shared" si="5"/>
        <v>833.33333333333337</v>
      </c>
      <c r="CA5" s="1">
        <f t="shared" si="5"/>
        <v>833.33333333333337</v>
      </c>
      <c r="CB5" s="96">
        <f>SUM(BP5:CA5)</f>
        <v>10000</v>
      </c>
    </row>
    <row r="6" spans="1:93">
      <c r="A6" t="s">
        <v>180</v>
      </c>
      <c r="B6" s="8">
        <f>Annahmen!C17</f>
        <v>0.05</v>
      </c>
      <c r="C6" s="7">
        <f>B7*$B$6/12</f>
        <v>250</v>
      </c>
      <c r="D6" s="7">
        <f t="shared" ref="D6:BP6" si="6">C7*$B$6/12</f>
        <v>246.5277777777778</v>
      </c>
      <c r="E6" s="7">
        <f t="shared" si="6"/>
        <v>243.05555555555554</v>
      </c>
      <c r="F6" s="7">
        <f t="shared" si="6"/>
        <v>239.58333333333334</v>
      </c>
      <c r="G6" s="7">
        <f t="shared" si="6"/>
        <v>236.11111111111109</v>
      </c>
      <c r="H6" s="7">
        <f t="shared" si="6"/>
        <v>232.63888888888883</v>
      </c>
      <c r="I6" s="7">
        <f t="shared" si="6"/>
        <v>229.16666666666663</v>
      </c>
      <c r="J6" s="7">
        <f t="shared" si="6"/>
        <v>225.69444444444437</v>
      </c>
      <c r="K6" s="7">
        <f t="shared" si="6"/>
        <v>222.22222222222217</v>
      </c>
      <c r="L6" s="7">
        <f t="shared" si="6"/>
        <v>218.74999999999991</v>
      </c>
      <c r="M6" s="7">
        <f t="shared" si="6"/>
        <v>215.27777777777769</v>
      </c>
      <c r="N6" s="7">
        <f t="shared" si="6"/>
        <v>211.80555555555546</v>
      </c>
      <c r="O6" s="97">
        <f>SUM(C6:N6)</f>
        <v>2770.8333333333335</v>
      </c>
      <c r="P6" s="7">
        <f>O7*$B$6/12</f>
        <v>208.33333333333323</v>
      </c>
      <c r="Q6" s="7">
        <f t="shared" si="6"/>
        <v>204.861111111111</v>
      </c>
      <c r="R6" s="7">
        <f t="shared" si="6"/>
        <v>201.38888888888877</v>
      </c>
      <c r="S6" s="7">
        <f t="shared" si="6"/>
        <v>197.91666666666652</v>
      </c>
      <c r="T6" s="7">
        <f t="shared" si="6"/>
        <v>194.44444444444431</v>
      </c>
      <c r="U6" s="7">
        <f t="shared" si="6"/>
        <v>190.97222222222206</v>
      </c>
      <c r="V6" s="7">
        <f t="shared" si="6"/>
        <v>187.4999999999998</v>
      </c>
      <c r="W6" s="7">
        <f t="shared" si="6"/>
        <v>184.0277777777776</v>
      </c>
      <c r="X6" s="7">
        <f t="shared" si="6"/>
        <v>180.55555555555534</v>
      </c>
      <c r="Y6" s="7">
        <f t="shared" si="6"/>
        <v>177.08333333333314</v>
      </c>
      <c r="Z6" s="7">
        <f t="shared" si="6"/>
        <v>173.61111111111089</v>
      </c>
      <c r="AA6" s="7">
        <f t="shared" si="6"/>
        <v>170.13888888888866</v>
      </c>
      <c r="AB6" s="97">
        <f xml:space="preserve"> SUM(P6:AA6)</f>
        <v>2270.8333333333317</v>
      </c>
      <c r="AC6" s="7">
        <f t="shared" si="6"/>
        <v>166.66666666666643</v>
      </c>
      <c r="AD6" s="7">
        <f t="shared" si="6"/>
        <v>163.1944444444442</v>
      </c>
      <c r="AE6" s="7">
        <f t="shared" si="6"/>
        <v>159.72222222222197</v>
      </c>
      <c r="AF6" s="7">
        <f t="shared" si="6"/>
        <v>156.24999999999974</v>
      </c>
      <c r="AG6" s="7">
        <f t="shared" si="6"/>
        <v>152.77777777777752</v>
      </c>
      <c r="AH6" s="7">
        <f t="shared" si="6"/>
        <v>149.30555555555529</v>
      </c>
      <c r="AI6" s="7">
        <f t="shared" si="6"/>
        <v>145.83333333333303</v>
      </c>
      <c r="AJ6" s="7">
        <f t="shared" si="6"/>
        <v>142.3611111111108</v>
      </c>
      <c r="AK6" s="7">
        <f t="shared" si="6"/>
        <v>138.88888888888857</v>
      </c>
      <c r="AL6" s="7">
        <f t="shared" si="6"/>
        <v>135.41666666666637</v>
      </c>
      <c r="AM6" s="7">
        <f t="shared" si="6"/>
        <v>131.94444444444414</v>
      </c>
      <c r="AN6" s="7">
        <f t="shared" si="6"/>
        <v>128.47222222222192</v>
      </c>
      <c r="AO6" s="97">
        <f xml:space="preserve"> SUM(AC6:AN6)</f>
        <v>1770.8333333333301</v>
      </c>
      <c r="AP6" s="7">
        <f t="shared" si="6"/>
        <v>124.9999999999997</v>
      </c>
      <c r="AQ6" s="7">
        <f t="shared" si="6"/>
        <v>121.52777777777749</v>
      </c>
      <c r="AR6" s="7">
        <f t="shared" si="6"/>
        <v>118.05555555555527</v>
      </c>
      <c r="AS6" s="7">
        <f t="shared" si="6"/>
        <v>114.58333333333304</v>
      </c>
      <c r="AT6" s="7">
        <f t="shared" si="6"/>
        <v>111.11111111111084</v>
      </c>
      <c r="AU6" s="7">
        <f t="shared" si="6"/>
        <v>107.63888888888862</v>
      </c>
      <c r="AV6" s="7">
        <f t="shared" si="6"/>
        <v>104.1666666666664</v>
      </c>
      <c r="AW6" s="7">
        <f t="shared" si="6"/>
        <v>100.69444444444417</v>
      </c>
      <c r="AX6" s="7">
        <f t="shared" si="6"/>
        <v>97.222222222221959</v>
      </c>
      <c r="AY6" s="7">
        <f t="shared" si="6"/>
        <v>93.749999999999758</v>
      </c>
      <c r="AZ6" s="7">
        <f t="shared" si="6"/>
        <v>90.27777777777753</v>
      </c>
      <c r="BA6" s="7">
        <f t="shared" si="6"/>
        <v>86.805555555555316</v>
      </c>
      <c r="BB6" s="97">
        <f xml:space="preserve"> SUM(AP6:BA6)</f>
        <v>1270.8333333333303</v>
      </c>
      <c r="BC6" s="7">
        <f t="shared" si="6"/>
        <v>83.333333333333101</v>
      </c>
      <c r="BD6" s="7">
        <f t="shared" si="6"/>
        <v>79.861111111110873</v>
      </c>
      <c r="BE6" s="7">
        <f t="shared" si="6"/>
        <v>76.388888888888658</v>
      </c>
      <c r="BF6" s="7">
        <f t="shared" si="6"/>
        <v>72.916666666666444</v>
      </c>
      <c r="BG6" s="7">
        <f t="shared" si="6"/>
        <v>69.44444444444423</v>
      </c>
      <c r="BH6" s="7">
        <f t="shared" si="6"/>
        <v>65.972222222222001</v>
      </c>
      <c r="BI6" s="7">
        <f t="shared" si="6"/>
        <v>62.499999999999773</v>
      </c>
      <c r="BJ6" s="7">
        <f t="shared" si="6"/>
        <v>59.027777777777551</v>
      </c>
      <c r="BK6" s="7">
        <f t="shared" si="6"/>
        <v>55.555555555555323</v>
      </c>
      <c r="BL6" s="7">
        <f t="shared" si="6"/>
        <v>52.083333333333108</v>
      </c>
      <c r="BM6" s="7">
        <f t="shared" si="6"/>
        <v>48.61111111111088</v>
      </c>
      <c r="BN6" s="7">
        <f t="shared" si="6"/>
        <v>45.138888888888651</v>
      </c>
      <c r="BO6" s="97">
        <f xml:space="preserve"> SUM(BC6:BN6)</f>
        <v>770.83333333333064</v>
      </c>
      <c r="BP6" s="7">
        <f t="shared" si="6"/>
        <v>41.666666666666423</v>
      </c>
      <c r="BQ6" s="7">
        <f t="shared" ref="BQ6:CB6" si="7">BP7*$B$6/12</f>
        <v>38.194444444444201</v>
      </c>
      <c r="BR6" s="7">
        <f t="shared" si="7"/>
        <v>34.72222222222198</v>
      </c>
      <c r="BS6" s="7">
        <f t="shared" si="7"/>
        <v>31.249999999999755</v>
      </c>
      <c r="BT6" s="7">
        <f t="shared" si="7"/>
        <v>27.777777777777533</v>
      </c>
      <c r="BU6" s="7">
        <f t="shared" si="7"/>
        <v>24.305555555555312</v>
      </c>
      <c r="BV6" s="7">
        <f t="shared" si="7"/>
        <v>20.833333333333091</v>
      </c>
      <c r="BW6" s="7">
        <f t="shared" si="7"/>
        <v>17.361111111110869</v>
      </c>
      <c r="BX6" s="7">
        <f t="shared" si="7"/>
        <v>13.888888888888649</v>
      </c>
      <c r="BY6" s="7">
        <f t="shared" si="7"/>
        <v>10.416666666666424</v>
      </c>
      <c r="BZ6" s="7">
        <f t="shared" si="7"/>
        <v>6.9444444444442013</v>
      </c>
      <c r="CA6" s="7">
        <f t="shared" si="7"/>
        <v>3.4722222222219794</v>
      </c>
      <c r="CB6" s="97">
        <f xml:space="preserve"> SUM(BP6:CA6)</f>
        <v>270.83333333333047</v>
      </c>
    </row>
    <row r="7" spans="1:93">
      <c r="A7" s="41" t="s">
        <v>181</v>
      </c>
      <c r="B7" s="88">
        <f>Annahmen!C16</f>
        <v>60000</v>
      </c>
      <c r="C7" s="88">
        <f>B7-C5</f>
        <v>59166.666666666664</v>
      </c>
      <c r="D7" s="88">
        <f t="shared" ref="D7:N7" si="8">C7-D5</f>
        <v>58333.333333333328</v>
      </c>
      <c r="E7" s="88">
        <f t="shared" si="8"/>
        <v>57499.999999999993</v>
      </c>
      <c r="F7" s="88">
        <f t="shared" si="8"/>
        <v>56666.666666666657</v>
      </c>
      <c r="G7" s="88">
        <f t="shared" si="8"/>
        <v>55833.333333333321</v>
      </c>
      <c r="H7" s="88">
        <f t="shared" si="8"/>
        <v>54999.999999999985</v>
      </c>
      <c r="I7" s="88">
        <f t="shared" si="8"/>
        <v>54166.66666666665</v>
      </c>
      <c r="J7" s="88">
        <f t="shared" si="8"/>
        <v>53333.333333333314</v>
      </c>
      <c r="K7" s="88">
        <f t="shared" si="8"/>
        <v>52499.999999999978</v>
      </c>
      <c r="L7" s="88">
        <f t="shared" si="8"/>
        <v>51666.666666666642</v>
      </c>
      <c r="M7" s="88">
        <f t="shared" si="8"/>
        <v>50833.333333333307</v>
      </c>
      <c r="N7" s="88">
        <f t="shared" si="8"/>
        <v>49999.999999999971</v>
      </c>
      <c r="O7" s="98">
        <f>N7</f>
        <v>49999.999999999971</v>
      </c>
      <c r="P7" s="88">
        <f>O7-P5</f>
        <v>49166.666666666635</v>
      </c>
      <c r="Q7" s="88">
        <f t="shared" ref="Q7:AA7" si="9">P7-Q5</f>
        <v>48333.333333333299</v>
      </c>
      <c r="R7" s="88">
        <f t="shared" si="9"/>
        <v>47499.999999999964</v>
      </c>
      <c r="S7" s="88">
        <f t="shared" si="9"/>
        <v>46666.666666666628</v>
      </c>
      <c r="T7" s="88">
        <f t="shared" si="9"/>
        <v>45833.333333333292</v>
      </c>
      <c r="U7" s="88">
        <f t="shared" si="9"/>
        <v>44999.999999999956</v>
      </c>
      <c r="V7" s="88">
        <f t="shared" si="9"/>
        <v>44166.666666666621</v>
      </c>
      <c r="W7" s="88">
        <f t="shared" si="9"/>
        <v>43333.333333333285</v>
      </c>
      <c r="X7" s="88">
        <f t="shared" si="9"/>
        <v>42499.999999999949</v>
      </c>
      <c r="Y7" s="88">
        <f t="shared" si="9"/>
        <v>41666.666666666613</v>
      </c>
      <c r="Z7" s="88">
        <f t="shared" si="9"/>
        <v>40833.333333333278</v>
      </c>
      <c r="AA7" s="88">
        <f t="shared" si="9"/>
        <v>39999.999999999942</v>
      </c>
      <c r="AB7" s="98">
        <f>AA7</f>
        <v>39999.999999999942</v>
      </c>
      <c r="AC7" s="88">
        <f>AB7-AC5</f>
        <v>39166.666666666606</v>
      </c>
      <c r="AD7" s="88">
        <f t="shared" ref="AD7:AN7" si="10">AC7-AD5</f>
        <v>38333.33333333327</v>
      </c>
      <c r="AE7" s="88">
        <f t="shared" si="10"/>
        <v>37499.999999999935</v>
      </c>
      <c r="AF7" s="88">
        <f t="shared" si="10"/>
        <v>36666.666666666599</v>
      </c>
      <c r="AG7" s="88">
        <f t="shared" si="10"/>
        <v>35833.333333333263</v>
      </c>
      <c r="AH7" s="88">
        <f t="shared" si="10"/>
        <v>34999.999999999927</v>
      </c>
      <c r="AI7" s="88">
        <f t="shared" si="10"/>
        <v>34166.666666666591</v>
      </c>
      <c r="AJ7" s="88">
        <f t="shared" si="10"/>
        <v>33333.333333333256</v>
      </c>
      <c r="AK7" s="88">
        <f t="shared" si="10"/>
        <v>32499.999999999924</v>
      </c>
      <c r="AL7" s="88">
        <f t="shared" si="10"/>
        <v>31666.666666666591</v>
      </c>
      <c r="AM7" s="88">
        <f t="shared" si="10"/>
        <v>30833.333333333259</v>
      </c>
      <c r="AN7" s="88">
        <f t="shared" si="10"/>
        <v>29999.999999999927</v>
      </c>
      <c r="AO7" s="98">
        <f>AN7</f>
        <v>29999.999999999927</v>
      </c>
      <c r="AP7" s="88">
        <f>AO7-AP5</f>
        <v>29166.666666666595</v>
      </c>
      <c r="AQ7" s="88">
        <f t="shared" ref="AQ7:BA7" si="11">AP7-AQ5</f>
        <v>28333.333333333263</v>
      </c>
      <c r="AR7" s="88">
        <f t="shared" si="11"/>
        <v>27499.999999999931</v>
      </c>
      <c r="AS7" s="88">
        <f t="shared" si="11"/>
        <v>26666.666666666599</v>
      </c>
      <c r="AT7" s="88">
        <f t="shared" si="11"/>
        <v>25833.333333333267</v>
      </c>
      <c r="AU7" s="88">
        <f t="shared" si="11"/>
        <v>24999.999999999935</v>
      </c>
      <c r="AV7" s="88">
        <f t="shared" si="11"/>
        <v>24166.666666666602</v>
      </c>
      <c r="AW7" s="88">
        <f t="shared" si="11"/>
        <v>23333.33333333327</v>
      </c>
      <c r="AX7" s="88">
        <f t="shared" si="11"/>
        <v>22499.999999999938</v>
      </c>
      <c r="AY7" s="88">
        <f t="shared" si="11"/>
        <v>21666.666666666606</v>
      </c>
      <c r="AZ7" s="88">
        <f t="shared" si="11"/>
        <v>20833.333333333274</v>
      </c>
      <c r="BA7" s="88">
        <f t="shared" si="11"/>
        <v>19999.999999999942</v>
      </c>
      <c r="BB7" s="98">
        <f>BA7</f>
        <v>19999.999999999942</v>
      </c>
      <c r="BC7" s="88">
        <f>BB7-BC5</f>
        <v>19166.66666666661</v>
      </c>
      <c r="BD7" s="88">
        <f t="shared" ref="BD7:BN7" si="12">BC7-BD5</f>
        <v>18333.333333333278</v>
      </c>
      <c r="BE7" s="88">
        <f t="shared" si="12"/>
        <v>17499.999999999945</v>
      </c>
      <c r="BF7" s="88">
        <f t="shared" si="12"/>
        <v>16666.666666666613</v>
      </c>
      <c r="BG7" s="88">
        <f t="shared" si="12"/>
        <v>15833.333333333279</v>
      </c>
      <c r="BH7" s="88">
        <f t="shared" si="12"/>
        <v>14999.999999999945</v>
      </c>
      <c r="BI7" s="88">
        <f t="shared" si="12"/>
        <v>14166.666666666611</v>
      </c>
      <c r="BJ7" s="88">
        <f t="shared" si="12"/>
        <v>13333.333333333278</v>
      </c>
      <c r="BK7" s="88">
        <f t="shared" si="12"/>
        <v>12499.999999999944</v>
      </c>
      <c r="BL7" s="88">
        <f t="shared" si="12"/>
        <v>11666.66666666661</v>
      </c>
      <c r="BM7" s="88">
        <f t="shared" si="12"/>
        <v>10833.333333333276</v>
      </c>
      <c r="BN7" s="88">
        <f t="shared" si="12"/>
        <v>9999.9999999999418</v>
      </c>
      <c r="BO7" s="98">
        <f>BN7</f>
        <v>9999.9999999999418</v>
      </c>
      <c r="BP7" s="88">
        <f>BO7-BP5</f>
        <v>9166.6666666666079</v>
      </c>
      <c r="BQ7" s="88">
        <f t="shared" ref="BQ7:CA7" si="13">BP7-BQ5</f>
        <v>8333.3333333332739</v>
      </c>
      <c r="BR7" s="88">
        <f t="shared" si="13"/>
        <v>7499.9999999999409</v>
      </c>
      <c r="BS7" s="88">
        <f t="shared" si="13"/>
        <v>6666.6666666666079</v>
      </c>
      <c r="BT7" s="88">
        <f t="shared" si="13"/>
        <v>5833.3333333332748</v>
      </c>
      <c r="BU7" s="88">
        <f t="shared" si="13"/>
        <v>4999.9999999999418</v>
      </c>
      <c r="BV7" s="88">
        <f t="shared" si="13"/>
        <v>4166.6666666666088</v>
      </c>
      <c r="BW7" s="88">
        <f t="shared" si="13"/>
        <v>3333.3333333332753</v>
      </c>
      <c r="BX7" s="88">
        <f t="shared" si="13"/>
        <v>2499.9999999999418</v>
      </c>
      <c r="BY7" s="88">
        <f t="shared" si="13"/>
        <v>1666.6666666666083</v>
      </c>
      <c r="BZ7" s="88">
        <f t="shared" si="13"/>
        <v>833.33333333327494</v>
      </c>
      <c r="CA7" s="88">
        <f>BZ7-CA5</f>
        <v>-5.8435034588910639E-11</v>
      </c>
      <c r="CB7" s="98">
        <f>CA7</f>
        <v>-5.8435034588910639E-11</v>
      </c>
    </row>
    <row r="8" spans="1:93">
      <c r="O8" s="95"/>
      <c r="AB8" s="95"/>
      <c r="AO8" s="95"/>
      <c r="BB8" s="95"/>
      <c r="BO8" s="95"/>
      <c r="CB8" s="95"/>
    </row>
    <row r="9" spans="1:93" ht="15.75" customHeight="1">
      <c r="A9" s="207" t="s">
        <v>182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9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9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9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9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9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95"/>
    </row>
    <row r="10" spans="1:93">
      <c r="A10" t="s">
        <v>179</v>
      </c>
      <c r="B10" s="1">
        <f>B12/12/6</f>
        <v>1250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96">
        <f>SUM(C10:N10)</f>
        <v>0</v>
      </c>
      <c r="P10" s="1">
        <f>$B$10</f>
        <v>1250</v>
      </c>
      <c r="Q10" s="1">
        <f t="shared" ref="Q10:AA10" si="14">$B$10</f>
        <v>1250</v>
      </c>
      <c r="R10" s="1">
        <f t="shared" si="14"/>
        <v>1250</v>
      </c>
      <c r="S10" s="1">
        <f t="shared" si="14"/>
        <v>1250</v>
      </c>
      <c r="T10" s="1">
        <f t="shared" si="14"/>
        <v>1250</v>
      </c>
      <c r="U10" s="1">
        <f t="shared" si="14"/>
        <v>1250</v>
      </c>
      <c r="V10" s="1">
        <f t="shared" si="14"/>
        <v>1250</v>
      </c>
      <c r="W10" s="1">
        <f t="shared" si="14"/>
        <v>1250</v>
      </c>
      <c r="X10" s="1">
        <f t="shared" si="14"/>
        <v>1250</v>
      </c>
      <c r="Y10" s="1">
        <f t="shared" si="14"/>
        <v>1250</v>
      </c>
      <c r="Z10" s="1">
        <f t="shared" si="14"/>
        <v>1250</v>
      </c>
      <c r="AA10" s="1">
        <f t="shared" si="14"/>
        <v>1250</v>
      </c>
      <c r="AB10" s="96">
        <f>SUM(P10:AA10)</f>
        <v>15000</v>
      </c>
      <c r="AC10" s="1">
        <f>$B$10</f>
        <v>1250</v>
      </c>
      <c r="AD10" s="1">
        <f t="shared" ref="AD10:BA10" si="15">$B$10</f>
        <v>1250</v>
      </c>
      <c r="AE10" s="1">
        <f t="shared" si="15"/>
        <v>1250</v>
      </c>
      <c r="AF10" s="1">
        <f t="shared" si="15"/>
        <v>1250</v>
      </c>
      <c r="AG10" s="1">
        <f t="shared" si="15"/>
        <v>1250</v>
      </c>
      <c r="AH10" s="1">
        <f t="shared" si="15"/>
        <v>1250</v>
      </c>
      <c r="AI10" s="1">
        <f t="shared" si="15"/>
        <v>1250</v>
      </c>
      <c r="AJ10" s="1">
        <f t="shared" si="15"/>
        <v>1250</v>
      </c>
      <c r="AK10" s="1">
        <f t="shared" si="15"/>
        <v>1250</v>
      </c>
      <c r="AL10" s="1">
        <f t="shared" si="15"/>
        <v>1250</v>
      </c>
      <c r="AM10" s="1">
        <f t="shared" si="15"/>
        <v>1250</v>
      </c>
      <c r="AN10" s="1">
        <f t="shared" si="15"/>
        <v>1250</v>
      </c>
      <c r="AO10" s="96">
        <f>SUM(AC10:AN10)</f>
        <v>15000</v>
      </c>
      <c r="AP10" s="1">
        <f t="shared" si="15"/>
        <v>1250</v>
      </c>
      <c r="AQ10" s="1">
        <f t="shared" si="15"/>
        <v>1250</v>
      </c>
      <c r="AR10" s="1">
        <f t="shared" si="15"/>
        <v>1250</v>
      </c>
      <c r="AS10" s="1">
        <f t="shared" si="15"/>
        <v>1250</v>
      </c>
      <c r="AT10" s="1">
        <f t="shared" si="15"/>
        <v>1250</v>
      </c>
      <c r="AU10" s="1">
        <f t="shared" si="15"/>
        <v>1250</v>
      </c>
      <c r="AV10" s="1">
        <f t="shared" si="15"/>
        <v>1250</v>
      </c>
      <c r="AW10" s="1">
        <f t="shared" si="15"/>
        <v>1250</v>
      </c>
      <c r="AX10" s="1">
        <f t="shared" si="15"/>
        <v>1250</v>
      </c>
      <c r="AY10" s="1">
        <f t="shared" si="15"/>
        <v>1250</v>
      </c>
      <c r="AZ10" s="1">
        <f t="shared" si="15"/>
        <v>1250</v>
      </c>
      <c r="BA10" s="1">
        <f t="shared" si="15"/>
        <v>1250</v>
      </c>
      <c r="BB10" s="96">
        <f>SUM(AP10:BA10)</f>
        <v>15000</v>
      </c>
      <c r="BC10" s="1">
        <f>$B$10</f>
        <v>1250</v>
      </c>
      <c r="BD10" s="1">
        <f t="shared" ref="BD10:BN10" si="16">$B$10</f>
        <v>1250</v>
      </c>
      <c r="BE10" s="1">
        <f t="shared" si="16"/>
        <v>1250</v>
      </c>
      <c r="BF10" s="1">
        <f t="shared" si="16"/>
        <v>1250</v>
      </c>
      <c r="BG10" s="1">
        <f t="shared" si="16"/>
        <v>1250</v>
      </c>
      <c r="BH10" s="1">
        <f t="shared" si="16"/>
        <v>1250</v>
      </c>
      <c r="BI10" s="1">
        <f t="shared" si="16"/>
        <v>1250</v>
      </c>
      <c r="BJ10" s="1">
        <f t="shared" si="16"/>
        <v>1250</v>
      </c>
      <c r="BK10" s="1">
        <f t="shared" si="16"/>
        <v>1250</v>
      </c>
      <c r="BL10" s="1">
        <f t="shared" si="16"/>
        <v>1250</v>
      </c>
      <c r="BM10" s="1">
        <f t="shared" si="16"/>
        <v>1250</v>
      </c>
      <c r="BN10" s="1">
        <f t="shared" si="16"/>
        <v>1250</v>
      </c>
      <c r="BO10" s="96">
        <f>SUM(BC10:BN10)</f>
        <v>15000</v>
      </c>
      <c r="BP10" s="1">
        <f>$B$10</f>
        <v>1250</v>
      </c>
      <c r="BQ10" s="1">
        <f t="shared" ref="BQ10:CA10" si="17">$B$10</f>
        <v>1250</v>
      </c>
      <c r="BR10" s="1">
        <f t="shared" si="17"/>
        <v>1250</v>
      </c>
      <c r="BS10" s="1">
        <f t="shared" si="17"/>
        <v>1250</v>
      </c>
      <c r="BT10" s="1">
        <f t="shared" si="17"/>
        <v>1250</v>
      </c>
      <c r="BU10" s="1">
        <f t="shared" si="17"/>
        <v>1250</v>
      </c>
      <c r="BV10" s="1">
        <f t="shared" si="17"/>
        <v>1250</v>
      </c>
      <c r="BW10" s="1">
        <f t="shared" si="17"/>
        <v>1250</v>
      </c>
      <c r="BX10" s="1">
        <f t="shared" si="17"/>
        <v>1250</v>
      </c>
      <c r="BY10" s="1">
        <f t="shared" si="17"/>
        <v>1250</v>
      </c>
      <c r="BZ10" s="1">
        <f t="shared" si="17"/>
        <v>1250</v>
      </c>
      <c r="CA10" s="1">
        <f t="shared" si="17"/>
        <v>1250</v>
      </c>
      <c r="CB10" s="96">
        <f>SUM(BP10:CA10)</f>
        <v>15000</v>
      </c>
      <c r="CC10" s="1">
        <f>$B$10</f>
        <v>1250</v>
      </c>
      <c r="CD10" s="1">
        <f t="shared" ref="CD10:CN10" si="18">$B$10</f>
        <v>1250</v>
      </c>
      <c r="CE10" s="1">
        <f t="shared" si="18"/>
        <v>1250</v>
      </c>
      <c r="CF10" s="1">
        <f t="shared" si="18"/>
        <v>1250</v>
      </c>
      <c r="CG10" s="1">
        <f t="shared" si="18"/>
        <v>1250</v>
      </c>
      <c r="CH10" s="1">
        <f t="shared" si="18"/>
        <v>1250</v>
      </c>
      <c r="CI10" s="1">
        <f t="shared" si="18"/>
        <v>1250</v>
      </c>
      <c r="CJ10" s="1">
        <f t="shared" si="18"/>
        <v>1250</v>
      </c>
      <c r="CK10" s="1">
        <f t="shared" si="18"/>
        <v>1250</v>
      </c>
      <c r="CL10" s="1">
        <f t="shared" si="18"/>
        <v>1250</v>
      </c>
      <c r="CM10" s="1">
        <f t="shared" si="18"/>
        <v>1250</v>
      </c>
      <c r="CN10" s="1">
        <f t="shared" si="18"/>
        <v>1250</v>
      </c>
      <c r="CO10" s="96">
        <f>SUM(CC10:CN10)</f>
        <v>15000</v>
      </c>
    </row>
    <row r="11" spans="1:93">
      <c r="A11" t="s">
        <v>180</v>
      </c>
      <c r="B11" s="8">
        <v>0.05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97">
        <f>SUM(C11:N11)</f>
        <v>0</v>
      </c>
      <c r="P11" s="7">
        <f>B12*$B$11/12</f>
        <v>375</v>
      </c>
      <c r="Q11" s="7">
        <f>P12*$B$11/12</f>
        <v>369.79166666666669</v>
      </c>
      <c r="R11" s="7">
        <f>Q12*$B$11/12</f>
        <v>364.58333333333331</v>
      </c>
      <c r="S11" s="7">
        <f t="shared" ref="S11:AA11" si="19">R12*$B$11/12</f>
        <v>359.375</v>
      </c>
      <c r="T11" s="7">
        <f t="shared" si="19"/>
        <v>354.16666666666669</v>
      </c>
      <c r="U11" s="7">
        <f t="shared" si="19"/>
        <v>348.95833333333331</v>
      </c>
      <c r="V11" s="7">
        <f t="shared" si="19"/>
        <v>343.75</v>
      </c>
      <c r="W11" s="7">
        <f t="shared" si="19"/>
        <v>338.54166666666669</v>
      </c>
      <c r="X11" s="7">
        <f t="shared" si="19"/>
        <v>333.33333333333331</v>
      </c>
      <c r="Y11" s="7">
        <f t="shared" si="19"/>
        <v>328.125</v>
      </c>
      <c r="Z11" s="7">
        <f t="shared" si="19"/>
        <v>322.91666666666669</v>
      </c>
      <c r="AA11" s="7">
        <f t="shared" si="19"/>
        <v>317.70833333333331</v>
      </c>
      <c r="AB11" s="97">
        <f>SUM(P11:AA11)</f>
        <v>4156.25</v>
      </c>
      <c r="AC11" s="7">
        <f>AB12*$B$11/12</f>
        <v>312.5</v>
      </c>
      <c r="AD11" s="7">
        <f t="shared" ref="AD11:AN11" si="20">AC12*$B$11/12</f>
        <v>307.29166666666669</v>
      </c>
      <c r="AE11" s="7">
        <f t="shared" si="20"/>
        <v>302.08333333333331</v>
      </c>
      <c r="AF11" s="7">
        <f t="shared" si="20"/>
        <v>296.875</v>
      </c>
      <c r="AG11" s="7">
        <f t="shared" si="20"/>
        <v>291.66666666666669</v>
      </c>
      <c r="AH11" s="7">
        <f t="shared" si="20"/>
        <v>286.45833333333331</v>
      </c>
      <c r="AI11" s="7">
        <f t="shared" si="20"/>
        <v>281.25</v>
      </c>
      <c r="AJ11" s="7">
        <f t="shared" si="20"/>
        <v>276.04166666666669</v>
      </c>
      <c r="AK11" s="7">
        <f t="shared" si="20"/>
        <v>270.83333333333331</v>
      </c>
      <c r="AL11" s="7">
        <f t="shared" si="20"/>
        <v>265.625</v>
      </c>
      <c r="AM11" s="7">
        <f t="shared" si="20"/>
        <v>260.41666666666669</v>
      </c>
      <c r="AN11" s="7">
        <f t="shared" si="20"/>
        <v>255.20833333333334</v>
      </c>
      <c r="AO11" s="97">
        <f xml:space="preserve"> SUM(AC11:AN11)</f>
        <v>3406.25</v>
      </c>
      <c r="AP11" s="7">
        <f>AO12*$B$11/12</f>
        <v>250</v>
      </c>
      <c r="AQ11" s="7">
        <f t="shared" ref="AQ11:BA11" si="21">AP12*$B$11/12</f>
        <v>244.79166666666666</v>
      </c>
      <c r="AR11" s="7">
        <f t="shared" si="21"/>
        <v>239.58333333333334</v>
      </c>
      <c r="AS11" s="7">
        <f t="shared" si="21"/>
        <v>234.375</v>
      </c>
      <c r="AT11" s="7">
        <f t="shared" si="21"/>
        <v>229.16666666666666</v>
      </c>
      <c r="AU11" s="7">
        <f t="shared" si="21"/>
        <v>223.95833333333334</v>
      </c>
      <c r="AV11" s="7">
        <f t="shared" si="21"/>
        <v>218.75</v>
      </c>
      <c r="AW11" s="7">
        <f t="shared" si="21"/>
        <v>213.54166666666666</v>
      </c>
      <c r="AX11" s="7">
        <f t="shared" si="21"/>
        <v>208.33333333333334</v>
      </c>
      <c r="AY11" s="7">
        <f t="shared" si="21"/>
        <v>203.125</v>
      </c>
      <c r="AZ11" s="7">
        <f t="shared" si="21"/>
        <v>197.91666666666666</v>
      </c>
      <c r="BA11" s="7">
        <f t="shared" si="21"/>
        <v>192.70833333333334</v>
      </c>
      <c r="BB11" s="97">
        <f xml:space="preserve"> SUM(AP11:BA11)</f>
        <v>2656.25</v>
      </c>
      <c r="BC11" s="7">
        <f>BB12*$B$11/12</f>
        <v>187.5</v>
      </c>
      <c r="BD11" s="7">
        <f t="shared" ref="BD11:BN11" si="22">BC12*$B$11/12</f>
        <v>182.29166666666666</v>
      </c>
      <c r="BE11" s="7">
        <f t="shared" si="22"/>
        <v>177.08333333333334</v>
      </c>
      <c r="BF11" s="7">
        <f t="shared" si="22"/>
        <v>171.875</v>
      </c>
      <c r="BG11" s="7">
        <f t="shared" si="22"/>
        <v>166.66666666666666</v>
      </c>
      <c r="BH11" s="7">
        <f t="shared" si="22"/>
        <v>161.45833333333334</v>
      </c>
      <c r="BI11" s="7">
        <f t="shared" si="22"/>
        <v>156.25</v>
      </c>
      <c r="BJ11" s="7">
        <f t="shared" si="22"/>
        <v>151.04166666666666</v>
      </c>
      <c r="BK11" s="7">
        <f t="shared" si="22"/>
        <v>145.83333333333334</v>
      </c>
      <c r="BL11" s="7">
        <f t="shared" si="22"/>
        <v>140.625</v>
      </c>
      <c r="BM11" s="7">
        <f t="shared" si="22"/>
        <v>135.41666666666666</v>
      </c>
      <c r="BN11" s="7">
        <f t="shared" si="22"/>
        <v>130.20833333333334</v>
      </c>
      <c r="BO11" s="97">
        <f xml:space="preserve"> SUM(BC11:BN11)</f>
        <v>1906.25</v>
      </c>
      <c r="BP11" s="7">
        <f>BO12*$B$11/12</f>
        <v>125</v>
      </c>
      <c r="BQ11" s="7">
        <f t="shared" ref="BQ11:CA11" si="23">BP12*$B$11/12</f>
        <v>119.79166666666667</v>
      </c>
      <c r="BR11" s="7">
        <f t="shared" si="23"/>
        <v>114.58333333333333</v>
      </c>
      <c r="BS11" s="7">
        <f t="shared" si="23"/>
        <v>109.375</v>
      </c>
      <c r="BT11" s="7">
        <f t="shared" si="23"/>
        <v>104.16666666666667</v>
      </c>
      <c r="BU11" s="7">
        <f t="shared" si="23"/>
        <v>98.958333333333329</v>
      </c>
      <c r="BV11" s="7">
        <f t="shared" si="23"/>
        <v>93.75</v>
      </c>
      <c r="BW11" s="7">
        <f t="shared" si="23"/>
        <v>88.541666666666671</v>
      </c>
      <c r="BX11" s="7">
        <f t="shared" si="23"/>
        <v>83.333333333333329</v>
      </c>
      <c r="BY11" s="7">
        <f t="shared" si="23"/>
        <v>78.125</v>
      </c>
      <c r="BZ11" s="7">
        <f t="shared" si="23"/>
        <v>72.916666666666671</v>
      </c>
      <c r="CA11" s="7">
        <f t="shared" si="23"/>
        <v>67.708333333333329</v>
      </c>
      <c r="CB11" s="97">
        <f xml:space="preserve"> SUM(BP11:CA11)</f>
        <v>1156.25</v>
      </c>
      <c r="CC11" s="7">
        <f>CB12*$B$11/12</f>
        <v>62.5</v>
      </c>
      <c r="CD11" s="7">
        <f t="shared" ref="CD11:CN11" si="24">CC12*$B$11/12</f>
        <v>57.291666666666664</v>
      </c>
      <c r="CE11" s="7">
        <f t="shared" si="24"/>
        <v>52.083333333333336</v>
      </c>
      <c r="CF11" s="7">
        <f t="shared" si="24"/>
        <v>46.875</v>
      </c>
      <c r="CG11" s="7">
        <f t="shared" si="24"/>
        <v>41.666666666666664</v>
      </c>
      <c r="CH11" s="7">
        <f t="shared" si="24"/>
        <v>36.458333333333336</v>
      </c>
      <c r="CI11" s="7">
        <f t="shared" si="24"/>
        <v>31.25</v>
      </c>
      <c r="CJ11" s="7">
        <f t="shared" si="24"/>
        <v>26.041666666666668</v>
      </c>
      <c r="CK11" s="7">
        <f t="shared" si="24"/>
        <v>20.833333333333332</v>
      </c>
      <c r="CL11" s="7">
        <f t="shared" si="24"/>
        <v>15.625</v>
      </c>
      <c r="CM11" s="7">
        <f t="shared" si="24"/>
        <v>10.416666666666666</v>
      </c>
      <c r="CN11" s="7">
        <f t="shared" si="24"/>
        <v>5.208333333333333</v>
      </c>
      <c r="CO11" s="97">
        <f xml:space="preserve"> SUM(CC11:CN11)</f>
        <v>406.25</v>
      </c>
    </row>
    <row r="12" spans="1:93">
      <c r="A12" s="41" t="s">
        <v>181</v>
      </c>
      <c r="B12" s="88">
        <f>Annahmen!I8</f>
        <v>90000</v>
      </c>
      <c r="C12" s="88">
        <v>0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</v>
      </c>
      <c r="J12" s="88">
        <v>0</v>
      </c>
      <c r="K12" s="88">
        <v>0</v>
      </c>
      <c r="L12" s="88">
        <v>0</v>
      </c>
      <c r="M12" s="88">
        <v>0</v>
      </c>
      <c r="N12" s="88">
        <v>0</v>
      </c>
      <c r="O12" s="98">
        <f>SUM(C12:N12)</f>
        <v>0</v>
      </c>
      <c r="P12" s="88">
        <f>B12-P10</f>
        <v>88750</v>
      </c>
      <c r="Q12" s="88">
        <f>P12-Q10</f>
        <v>87500</v>
      </c>
      <c r="R12" s="88">
        <f t="shared" ref="R12" si="25">Q12-R10</f>
        <v>86250</v>
      </c>
      <c r="S12" s="88">
        <f t="shared" ref="S12" si="26">R12-S10</f>
        <v>85000</v>
      </c>
      <c r="T12" s="88">
        <f t="shared" ref="T12" si="27">S12-T10</f>
        <v>83750</v>
      </c>
      <c r="U12" s="88">
        <f t="shared" ref="U12" si="28">T12-U10</f>
        <v>82500</v>
      </c>
      <c r="V12" s="88">
        <f t="shared" ref="V12" si="29">U12-V10</f>
        <v>81250</v>
      </c>
      <c r="W12" s="88">
        <f t="shared" ref="W12" si="30">V12-W10</f>
        <v>80000</v>
      </c>
      <c r="X12" s="88">
        <f t="shared" ref="X12" si="31">W12-X10</f>
        <v>78750</v>
      </c>
      <c r="Y12" s="88">
        <f t="shared" ref="Y12" si="32">X12-Y10</f>
        <v>77500</v>
      </c>
      <c r="Z12" s="88">
        <f t="shared" ref="Z12" si="33">Y12-Z10</f>
        <v>76250</v>
      </c>
      <c r="AA12" s="88">
        <f t="shared" ref="AA12" si="34">Z12-AA10</f>
        <v>75000</v>
      </c>
      <c r="AB12" s="98">
        <f>AA12</f>
        <v>75000</v>
      </c>
      <c r="AC12" s="88">
        <f>AB12-AC10</f>
        <v>73750</v>
      </c>
      <c r="AD12" s="88">
        <f t="shared" ref="AD12" si="35">AC12-AD10</f>
        <v>72500</v>
      </c>
      <c r="AE12" s="88">
        <f t="shared" ref="AE12" si="36">AD12-AE10</f>
        <v>71250</v>
      </c>
      <c r="AF12" s="88">
        <f t="shared" ref="AF12" si="37">AE12-AF10</f>
        <v>70000</v>
      </c>
      <c r="AG12" s="88">
        <f t="shared" ref="AG12" si="38">AF12-AG10</f>
        <v>68750</v>
      </c>
      <c r="AH12" s="88">
        <f t="shared" ref="AH12" si="39">AG12-AH10</f>
        <v>67500</v>
      </c>
      <c r="AI12" s="88">
        <f t="shared" ref="AI12" si="40">AH12-AI10</f>
        <v>66250</v>
      </c>
      <c r="AJ12" s="88">
        <f t="shared" ref="AJ12" si="41">AI12-AJ10</f>
        <v>65000</v>
      </c>
      <c r="AK12" s="88">
        <f t="shared" ref="AK12" si="42">AJ12-AK10</f>
        <v>63750</v>
      </c>
      <c r="AL12" s="88">
        <f t="shared" ref="AL12" si="43">AK12-AL10</f>
        <v>62500</v>
      </c>
      <c r="AM12" s="88">
        <f t="shared" ref="AM12" si="44">AL12-AM10</f>
        <v>61250</v>
      </c>
      <c r="AN12" s="88">
        <f t="shared" ref="AN12" si="45">AM12-AN10</f>
        <v>60000</v>
      </c>
      <c r="AO12" s="98">
        <f>AN12</f>
        <v>60000</v>
      </c>
      <c r="AP12" s="88">
        <f>AO12-AP10</f>
        <v>58750</v>
      </c>
      <c r="AQ12" s="88">
        <f t="shared" ref="AQ12" si="46">AP12-AQ10</f>
        <v>57500</v>
      </c>
      <c r="AR12" s="88">
        <f t="shared" ref="AR12" si="47">AQ12-AR10</f>
        <v>56250</v>
      </c>
      <c r="AS12" s="88">
        <f t="shared" ref="AS12" si="48">AR12-AS10</f>
        <v>55000</v>
      </c>
      <c r="AT12" s="88">
        <f t="shared" ref="AT12" si="49">AS12-AT10</f>
        <v>53750</v>
      </c>
      <c r="AU12" s="88">
        <f t="shared" ref="AU12" si="50">AT12-AU10</f>
        <v>52500</v>
      </c>
      <c r="AV12" s="88">
        <f t="shared" ref="AV12" si="51">AU12-AV10</f>
        <v>51250</v>
      </c>
      <c r="AW12" s="88">
        <f t="shared" ref="AW12" si="52">AV12-AW10</f>
        <v>50000</v>
      </c>
      <c r="AX12" s="88">
        <f t="shared" ref="AX12" si="53">AW12-AX10</f>
        <v>48750</v>
      </c>
      <c r="AY12" s="88">
        <f t="shared" ref="AY12" si="54">AX12-AY10</f>
        <v>47500</v>
      </c>
      <c r="AZ12" s="88">
        <f t="shared" ref="AZ12" si="55">AY12-AZ10</f>
        <v>46250</v>
      </c>
      <c r="BA12" s="88">
        <f t="shared" ref="BA12" si="56">AZ12-BA10</f>
        <v>45000</v>
      </c>
      <c r="BB12" s="98">
        <f>BA12</f>
        <v>45000</v>
      </c>
      <c r="BC12" s="88">
        <f>BB12-BC10</f>
        <v>43750</v>
      </c>
      <c r="BD12" s="88">
        <f t="shared" ref="BD12" si="57">BC12-BD10</f>
        <v>42500</v>
      </c>
      <c r="BE12" s="88">
        <f t="shared" ref="BE12" si="58">BD12-BE10</f>
        <v>41250</v>
      </c>
      <c r="BF12" s="88">
        <f t="shared" ref="BF12" si="59">BE12-BF10</f>
        <v>40000</v>
      </c>
      <c r="BG12" s="88">
        <f t="shared" ref="BG12" si="60">BF12-BG10</f>
        <v>38750</v>
      </c>
      <c r="BH12" s="88">
        <f t="shared" ref="BH12" si="61">BG12-BH10</f>
        <v>37500</v>
      </c>
      <c r="BI12" s="88">
        <f t="shared" ref="BI12" si="62">BH12-BI10</f>
        <v>36250</v>
      </c>
      <c r="BJ12" s="88">
        <f t="shared" ref="BJ12" si="63">BI12-BJ10</f>
        <v>35000</v>
      </c>
      <c r="BK12" s="88">
        <f t="shared" ref="BK12" si="64">BJ12-BK10</f>
        <v>33750</v>
      </c>
      <c r="BL12" s="88">
        <f t="shared" ref="BL12" si="65">BK12-BL10</f>
        <v>32500</v>
      </c>
      <c r="BM12" s="88">
        <f t="shared" ref="BM12" si="66">BL12-BM10</f>
        <v>31250</v>
      </c>
      <c r="BN12" s="88">
        <f t="shared" ref="BN12" si="67">BM12-BN10</f>
        <v>30000</v>
      </c>
      <c r="BO12" s="98">
        <f>BN12</f>
        <v>30000</v>
      </c>
      <c r="BP12" s="88">
        <f>BO12-BP10</f>
        <v>28750</v>
      </c>
      <c r="BQ12" s="88">
        <f t="shared" ref="BQ12" si="68">BP12-BQ10</f>
        <v>27500</v>
      </c>
      <c r="BR12" s="88">
        <f t="shared" ref="BR12" si="69">BQ12-BR10</f>
        <v>26250</v>
      </c>
      <c r="BS12" s="88">
        <f t="shared" ref="BS12" si="70">BR12-BS10</f>
        <v>25000</v>
      </c>
      <c r="BT12" s="88">
        <f t="shared" ref="BT12" si="71">BS12-BT10</f>
        <v>23750</v>
      </c>
      <c r="BU12" s="88">
        <f t="shared" ref="BU12" si="72">BT12-BU10</f>
        <v>22500</v>
      </c>
      <c r="BV12" s="88">
        <f t="shared" ref="BV12" si="73">BU12-BV10</f>
        <v>21250</v>
      </c>
      <c r="BW12" s="88">
        <f t="shared" ref="BW12" si="74">BV12-BW10</f>
        <v>20000</v>
      </c>
      <c r="BX12" s="88">
        <f t="shared" ref="BX12" si="75">BW12-BX10</f>
        <v>18750</v>
      </c>
      <c r="BY12" s="88">
        <f t="shared" ref="BY12" si="76">BX12-BY10</f>
        <v>17500</v>
      </c>
      <c r="BZ12" s="88">
        <f t="shared" ref="BZ12" si="77">BY12-BZ10</f>
        <v>16250</v>
      </c>
      <c r="CA12" s="88">
        <f t="shared" ref="CA12" si="78">BZ12-CA10</f>
        <v>15000</v>
      </c>
      <c r="CB12" s="98">
        <f>CA12</f>
        <v>15000</v>
      </c>
      <c r="CC12" s="88">
        <f>CB12-CC10</f>
        <v>13750</v>
      </c>
      <c r="CD12" s="88">
        <f t="shared" ref="CD12" si="79">CC12-CD10</f>
        <v>12500</v>
      </c>
      <c r="CE12" s="88">
        <f t="shared" ref="CE12" si="80">CD12-CE10</f>
        <v>11250</v>
      </c>
      <c r="CF12" s="88">
        <f t="shared" ref="CF12" si="81">CE12-CF10</f>
        <v>10000</v>
      </c>
      <c r="CG12" s="88">
        <f t="shared" ref="CG12" si="82">CF12-CG10</f>
        <v>8750</v>
      </c>
      <c r="CH12" s="88">
        <f t="shared" ref="CH12" si="83">CG12-CH10</f>
        <v>7500</v>
      </c>
      <c r="CI12" s="88">
        <f t="shared" ref="CI12" si="84">CH12-CI10</f>
        <v>6250</v>
      </c>
      <c r="CJ12" s="88">
        <f t="shared" ref="CJ12" si="85">CI12-CJ10</f>
        <v>5000</v>
      </c>
      <c r="CK12" s="88">
        <f t="shared" ref="CK12" si="86">CJ12-CK10</f>
        <v>3750</v>
      </c>
      <c r="CL12" s="88">
        <f t="shared" ref="CL12" si="87">CK12-CL10</f>
        <v>2500</v>
      </c>
      <c r="CM12" s="88">
        <f t="shared" ref="CM12" si="88">CL12-CM10</f>
        <v>1250</v>
      </c>
      <c r="CN12" s="88">
        <f>CM12-CN10</f>
        <v>0</v>
      </c>
      <c r="CO12" s="98">
        <f>CN12</f>
        <v>0</v>
      </c>
    </row>
    <row r="13" spans="1:93">
      <c r="A13" s="40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97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97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97"/>
      <c r="AP13" s="189"/>
      <c r="AQ13" s="189"/>
      <c r="AR13" s="189"/>
      <c r="AS13" s="189"/>
      <c r="AT13" s="189"/>
      <c r="AU13" s="189"/>
      <c r="AV13" s="189"/>
      <c r="AW13" s="189"/>
      <c r="AX13" s="189"/>
      <c r="AY13" s="189"/>
      <c r="AZ13" s="189"/>
      <c r="BA13" s="189"/>
      <c r="BB13" s="97"/>
      <c r="BC13" s="189"/>
      <c r="BD13" s="189"/>
      <c r="BE13" s="189"/>
      <c r="BF13" s="189"/>
      <c r="BG13" s="189"/>
      <c r="BH13" s="189"/>
      <c r="BI13" s="189"/>
      <c r="BJ13" s="189"/>
      <c r="BK13" s="189"/>
      <c r="BL13" s="189"/>
      <c r="BM13" s="189"/>
      <c r="BN13" s="189"/>
      <c r="BO13" s="97"/>
      <c r="BP13" s="189"/>
      <c r="BQ13" s="189"/>
      <c r="BR13" s="189"/>
      <c r="BS13" s="189"/>
      <c r="BT13" s="189"/>
      <c r="BU13" s="189"/>
      <c r="BV13" s="189"/>
      <c r="BW13" s="189"/>
      <c r="BX13" s="189"/>
      <c r="BY13" s="189"/>
      <c r="BZ13" s="189"/>
      <c r="CA13" s="189"/>
      <c r="CB13" s="97"/>
      <c r="CC13" s="189"/>
      <c r="CD13" s="189"/>
      <c r="CE13" s="189"/>
      <c r="CF13" s="189"/>
      <c r="CG13" s="189"/>
      <c r="CH13" s="189"/>
      <c r="CI13" s="189"/>
      <c r="CJ13" s="189"/>
      <c r="CK13" s="189"/>
      <c r="CL13" s="189"/>
      <c r="CM13" s="189"/>
      <c r="CN13" s="189"/>
      <c r="CO13" s="189"/>
    </row>
    <row r="14" spans="1:93">
      <c r="A14" s="5" t="s">
        <v>11</v>
      </c>
      <c r="O14" s="95"/>
      <c r="AB14" s="95"/>
      <c r="AO14" s="95"/>
      <c r="BB14" s="95"/>
      <c r="BO14" s="95"/>
      <c r="CB14" s="95"/>
    </row>
    <row r="15" spans="1:93">
      <c r="A15" s="89" t="s">
        <v>179</v>
      </c>
      <c r="B15" s="206">
        <f>Annahmen!C23</f>
        <v>0</v>
      </c>
      <c r="C15" s="206">
        <f>B15</f>
        <v>0</v>
      </c>
      <c r="D15" s="206">
        <f t="shared" ref="D15:N15" si="89">C15</f>
        <v>0</v>
      </c>
      <c r="E15" s="206">
        <f t="shared" si="89"/>
        <v>0</v>
      </c>
      <c r="F15" s="206">
        <f t="shared" si="89"/>
        <v>0</v>
      </c>
      <c r="G15" s="206">
        <f t="shared" si="89"/>
        <v>0</v>
      </c>
      <c r="H15" s="206">
        <f t="shared" si="89"/>
        <v>0</v>
      </c>
      <c r="I15" s="206">
        <f t="shared" si="89"/>
        <v>0</v>
      </c>
      <c r="J15" s="206">
        <f t="shared" si="89"/>
        <v>0</v>
      </c>
      <c r="K15" s="206">
        <f t="shared" si="89"/>
        <v>0</v>
      </c>
      <c r="L15" s="206">
        <f t="shared" si="89"/>
        <v>0</v>
      </c>
      <c r="M15" s="206">
        <f t="shared" si="89"/>
        <v>0</v>
      </c>
      <c r="N15" s="206">
        <f t="shared" si="89"/>
        <v>0</v>
      </c>
      <c r="O15" s="96">
        <f>SUM(C15:N15)</f>
        <v>0</v>
      </c>
      <c r="P15" s="206">
        <f>B15</f>
        <v>0</v>
      </c>
      <c r="Q15" s="206">
        <f t="shared" ref="Q15:AA15" si="90">C15</f>
        <v>0</v>
      </c>
      <c r="R15" s="206">
        <f t="shared" si="90"/>
        <v>0</v>
      </c>
      <c r="S15" s="206">
        <f t="shared" si="90"/>
        <v>0</v>
      </c>
      <c r="T15" s="206">
        <f t="shared" si="90"/>
        <v>0</v>
      </c>
      <c r="U15" s="206">
        <f t="shared" si="90"/>
        <v>0</v>
      </c>
      <c r="V15" s="206">
        <f t="shared" si="90"/>
        <v>0</v>
      </c>
      <c r="W15" s="206">
        <f t="shared" si="90"/>
        <v>0</v>
      </c>
      <c r="X15" s="206">
        <f t="shared" si="90"/>
        <v>0</v>
      </c>
      <c r="Y15" s="206">
        <f t="shared" si="90"/>
        <v>0</v>
      </c>
      <c r="Z15" s="206">
        <f t="shared" si="90"/>
        <v>0</v>
      </c>
      <c r="AA15" s="206">
        <f t="shared" si="90"/>
        <v>0</v>
      </c>
      <c r="AB15" s="96">
        <f>SUM(P15:AA15)</f>
        <v>0</v>
      </c>
      <c r="AC15" s="206">
        <f>B15</f>
        <v>0</v>
      </c>
      <c r="AD15" s="206">
        <f t="shared" ref="AD15" si="91">P15</f>
        <v>0</v>
      </c>
      <c r="AE15" s="206">
        <f t="shared" ref="AE15" si="92">Q15</f>
        <v>0</v>
      </c>
      <c r="AF15" s="206">
        <f t="shared" ref="AF15" si="93">R15</f>
        <v>0</v>
      </c>
      <c r="AG15" s="206">
        <f t="shared" ref="AG15" si="94">S15</f>
        <v>0</v>
      </c>
      <c r="AH15" s="206">
        <f t="shared" ref="AH15" si="95">T15</f>
        <v>0</v>
      </c>
      <c r="AI15" s="206">
        <f t="shared" ref="AI15" si="96">U15</f>
        <v>0</v>
      </c>
      <c r="AJ15" s="206">
        <f t="shared" ref="AJ15" si="97">V15</f>
        <v>0</v>
      </c>
      <c r="AK15" s="206">
        <f t="shared" ref="AK15" si="98">W15</f>
        <v>0</v>
      </c>
      <c r="AL15" s="206">
        <f t="shared" ref="AL15" si="99">X15</f>
        <v>0</v>
      </c>
      <c r="AM15" s="206">
        <f t="shared" ref="AM15" si="100">Y15</f>
        <v>0</v>
      </c>
      <c r="AN15" s="206">
        <f t="shared" ref="AN15" si="101">Z15</f>
        <v>0</v>
      </c>
      <c r="AO15" s="96">
        <f>SUM(AC15:AN15)</f>
        <v>0</v>
      </c>
      <c r="AP15" s="206">
        <f>B15</f>
        <v>0</v>
      </c>
      <c r="AQ15" s="206">
        <f t="shared" ref="AQ15" si="102">AC15</f>
        <v>0</v>
      </c>
      <c r="AR15" s="206">
        <f t="shared" ref="AR15" si="103">AD15</f>
        <v>0</v>
      </c>
      <c r="AS15" s="206">
        <f t="shared" ref="AS15" si="104">AE15</f>
        <v>0</v>
      </c>
      <c r="AT15" s="206">
        <f t="shared" ref="AT15" si="105">AF15</f>
        <v>0</v>
      </c>
      <c r="AU15" s="206">
        <f t="shared" ref="AU15" si="106">AG15</f>
        <v>0</v>
      </c>
      <c r="AV15" s="206">
        <f t="shared" ref="AV15" si="107">AH15</f>
        <v>0</v>
      </c>
      <c r="AW15" s="206">
        <f t="shared" ref="AW15" si="108">AI15</f>
        <v>0</v>
      </c>
      <c r="AX15" s="206">
        <f t="shared" ref="AX15" si="109">AJ15</f>
        <v>0</v>
      </c>
      <c r="AY15" s="206">
        <f t="shared" ref="AY15" si="110">AK15</f>
        <v>0</v>
      </c>
      <c r="AZ15" s="206">
        <f t="shared" ref="AZ15" si="111">AL15</f>
        <v>0</v>
      </c>
      <c r="BA15" s="206">
        <f t="shared" ref="BA15" si="112">AM15</f>
        <v>0</v>
      </c>
      <c r="BB15" s="96">
        <f>SUM(AP15:BA15)</f>
        <v>0</v>
      </c>
      <c r="BC15" s="206">
        <f>B15</f>
        <v>0</v>
      </c>
      <c r="BD15" s="206">
        <f t="shared" ref="BD15" si="113">AP15</f>
        <v>0</v>
      </c>
      <c r="BE15" s="206">
        <f t="shared" ref="BE15" si="114">AQ15</f>
        <v>0</v>
      </c>
      <c r="BF15" s="206">
        <f t="shared" ref="BF15" si="115">AR15</f>
        <v>0</v>
      </c>
      <c r="BG15" s="206">
        <f t="shared" ref="BG15" si="116">AS15</f>
        <v>0</v>
      </c>
      <c r="BH15" s="206">
        <f t="shared" ref="BH15" si="117">AT15</f>
        <v>0</v>
      </c>
      <c r="BI15" s="206">
        <f t="shared" ref="BI15" si="118">AU15</f>
        <v>0</v>
      </c>
      <c r="BJ15" s="206">
        <f t="shared" ref="BJ15" si="119">AV15</f>
        <v>0</v>
      </c>
      <c r="BK15" s="206">
        <f t="shared" ref="BK15" si="120">AW15</f>
        <v>0</v>
      </c>
      <c r="BL15" s="206">
        <f t="shared" ref="BL15" si="121">AX15</f>
        <v>0</v>
      </c>
      <c r="BM15" s="206">
        <f t="shared" ref="BM15" si="122">AY15</f>
        <v>0</v>
      </c>
      <c r="BN15" s="206">
        <f t="shared" ref="BN15" si="123">AZ15</f>
        <v>0</v>
      </c>
      <c r="BO15" s="96">
        <f>SUM(BC15:BN15)</f>
        <v>0</v>
      </c>
      <c r="BP15" s="206">
        <f>B15</f>
        <v>0</v>
      </c>
      <c r="BQ15" s="206">
        <f t="shared" ref="BQ15" si="124">BC15</f>
        <v>0</v>
      </c>
      <c r="BR15" s="206">
        <f t="shared" ref="BR15" si="125">BD15</f>
        <v>0</v>
      </c>
      <c r="BS15" s="206">
        <f t="shared" ref="BS15" si="126">BE15</f>
        <v>0</v>
      </c>
      <c r="BT15" s="206">
        <f t="shared" ref="BT15" si="127">BF15</f>
        <v>0</v>
      </c>
      <c r="BU15" s="206">
        <f t="shared" ref="BU15" si="128">BG15</f>
        <v>0</v>
      </c>
      <c r="BV15" s="206">
        <f t="shared" ref="BV15" si="129">BH15</f>
        <v>0</v>
      </c>
      <c r="BW15" s="206">
        <f t="shared" ref="BW15" si="130">BI15</f>
        <v>0</v>
      </c>
      <c r="BX15" s="206">
        <f t="shared" ref="BX15" si="131">BJ15</f>
        <v>0</v>
      </c>
      <c r="BY15" s="206">
        <f t="shared" ref="BY15" si="132">BK15</f>
        <v>0</v>
      </c>
      <c r="BZ15" s="206">
        <f t="shared" ref="BZ15" si="133">BL15</f>
        <v>0</v>
      </c>
      <c r="CA15" s="206">
        <f t="shared" ref="CA15" si="134">BM15</f>
        <v>0</v>
      </c>
      <c r="CB15" s="96">
        <f>SUM(BP15:CA15)</f>
        <v>0</v>
      </c>
    </row>
    <row r="16" spans="1:93">
      <c r="A16" t="s">
        <v>180</v>
      </c>
      <c r="B16" s="8">
        <f>Annahmen!C21</f>
        <v>0.05</v>
      </c>
      <c r="C16" s="7">
        <f>B17*$B$16/12</f>
        <v>0</v>
      </c>
      <c r="D16" s="7">
        <f t="shared" ref="D16:M16" si="135">C17*$B$16/12</f>
        <v>0</v>
      </c>
      <c r="E16" s="7">
        <f t="shared" si="135"/>
        <v>0</v>
      </c>
      <c r="F16" s="7">
        <f t="shared" si="135"/>
        <v>0</v>
      </c>
      <c r="G16" s="7">
        <f t="shared" si="135"/>
        <v>0</v>
      </c>
      <c r="H16" s="7">
        <f t="shared" si="135"/>
        <v>0</v>
      </c>
      <c r="I16" s="7">
        <f t="shared" si="135"/>
        <v>0</v>
      </c>
      <c r="J16" s="7">
        <f t="shared" si="135"/>
        <v>0</v>
      </c>
      <c r="K16" s="7">
        <f t="shared" si="135"/>
        <v>0</v>
      </c>
      <c r="L16" s="7">
        <f t="shared" si="135"/>
        <v>0</v>
      </c>
      <c r="M16" s="7">
        <f t="shared" si="135"/>
        <v>0</v>
      </c>
      <c r="N16" s="7">
        <f>M17*$B$16/12</f>
        <v>0</v>
      </c>
      <c r="O16" s="97">
        <f>SUM(C16:N16)</f>
        <v>0</v>
      </c>
      <c r="P16" s="7">
        <f>O17*$B$16/12</f>
        <v>0</v>
      </c>
      <c r="Q16" s="7">
        <f t="shared" ref="Q16:AA16" si="136">P17*$B$16/12</f>
        <v>0</v>
      </c>
      <c r="R16" s="7">
        <f t="shared" si="136"/>
        <v>0</v>
      </c>
      <c r="S16" s="7">
        <f t="shared" si="136"/>
        <v>0</v>
      </c>
      <c r="T16" s="7">
        <f t="shared" si="136"/>
        <v>0</v>
      </c>
      <c r="U16" s="7">
        <f t="shared" si="136"/>
        <v>0</v>
      </c>
      <c r="V16" s="7">
        <f t="shared" si="136"/>
        <v>0</v>
      </c>
      <c r="W16" s="7">
        <f t="shared" si="136"/>
        <v>0</v>
      </c>
      <c r="X16" s="7">
        <f t="shared" si="136"/>
        <v>0</v>
      </c>
      <c r="Y16" s="7">
        <f t="shared" si="136"/>
        <v>0</v>
      </c>
      <c r="Z16" s="7">
        <f t="shared" si="136"/>
        <v>0</v>
      </c>
      <c r="AA16" s="7">
        <f t="shared" si="136"/>
        <v>0</v>
      </c>
      <c r="AB16" s="97">
        <f>SUM(P16:AA16)</f>
        <v>0</v>
      </c>
      <c r="AC16" s="7">
        <f>AB17*$B$16/12</f>
        <v>0</v>
      </c>
      <c r="AD16" s="7">
        <f t="shared" ref="AD16:AN16" si="137">AC17*$B$16/12</f>
        <v>0</v>
      </c>
      <c r="AE16" s="7">
        <f t="shared" si="137"/>
        <v>0</v>
      </c>
      <c r="AF16" s="7">
        <f t="shared" si="137"/>
        <v>0</v>
      </c>
      <c r="AG16" s="7">
        <f t="shared" si="137"/>
        <v>0</v>
      </c>
      <c r="AH16" s="7">
        <f t="shared" si="137"/>
        <v>0</v>
      </c>
      <c r="AI16" s="7">
        <f t="shared" si="137"/>
        <v>0</v>
      </c>
      <c r="AJ16" s="7">
        <f t="shared" si="137"/>
        <v>0</v>
      </c>
      <c r="AK16" s="7">
        <f t="shared" si="137"/>
        <v>0</v>
      </c>
      <c r="AL16" s="7">
        <f t="shared" si="137"/>
        <v>0</v>
      </c>
      <c r="AM16" s="7">
        <f t="shared" si="137"/>
        <v>0</v>
      </c>
      <c r="AN16" s="7">
        <f t="shared" si="137"/>
        <v>0</v>
      </c>
      <c r="AO16" s="97">
        <f>SUM(AC16:AN16)</f>
        <v>0</v>
      </c>
      <c r="AP16" s="7">
        <f>AO17*$B$16/12</f>
        <v>0</v>
      </c>
      <c r="AQ16" s="7">
        <f t="shared" ref="AQ16:BA16" si="138">AP17*$B$16/12</f>
        <v>0</v>
      </c>
      <c r="AR16" s="7">
        <f t="shared" si="138"/>
        <v>0</v>
      </c>
      <c r="AS16" s="7">
        <f t="shared" si="138"/>
        <v>0</v>
      </c>
      <c r="AT16" s="7">
        <f t="shared" si="138"/>
        <v>0</v>
      </c>
      <c r="AU16" s="7">
        <f t="shared" si="138"/>
        <v>0</v>
      </c>
      <c r="AV16" s="7">
        <f t="shared" si="138"/>
        <v>0</v>
      </c>
      <c r="AW16" s="7">
        <f t="shared" si="138"/>
        <v>0</v>
      </c>
      <c r="AX16" s="7">
        <f t="shared" si="138"/>
        <v>0</v>
      </c>
      <c r="AY16" s="7">
        <f t="shared" si="138"/>
        <v>0</v>
      </c>
      <c r="AZ16" s="7">
        <f t="shared" si="138"/>
        <v>0</v>
      </c>
      <c r="BA16" s="7">
        <f t="shared" si="138"/>
        <v>0</v>
      </c>
      <c r="BB16" s="97">
        <f>SUM(AP16:BA16)</f>
        <v>0</v>
      </c>
      <c r="BC16" s="7">
        <f>BB17*$B$16/12</f>
        <v>0</v>
      </c>
      <c r="BD16" s="7">
        <f t="shared" ref="BD16:BN16" si="139">BC17*$B$16/12</f>
        <v>0</v>
      </c>
      <c r="BE16" s="7">
        <f t="shared" si="139"/>
        <v>0</v>
      </c>
      <c r="BF16" s="7">
        <f t="shared" si="139"/>
        <v>0</v>
      </c>
      <c r="BG16" s="7">
        <f t="shared" si="139"/>
        <v>0</v>
      </c>
      <c r="BH16" s="7">
        <f t="shared" si="139"/>
        <v>0</v>
      </c>
      <c r="BI16" s="7">
        <f t="shared" si="139"/>
        <v>0</v>
      </c>
      <c r="BJ16" s="7">
        <f t="shared" si="139"/>
        <v>0</v>
      </c>
      <c r="BK16" s="7">
        <f t="shared" si="139"/>
        <v>0</v>
      </c>
      <c r="BL16" s="7">
        <f t="shared" si="139"/>
        <v>0</v>
      </c>
      <c r="BM16" s="7">
        <f t="shared" si="139"/>
        <v>0</v>
      </c>
      <c r="BN16" s="7">
        <f t="shared" si="139"/>
        <v>0</v>
      </c>
      <c r="BO16" s="97">
        <f>SUM(BC16:BN16)</f>
        <v>0</v>
      </c>
      <c r="BP16" s="7">
        <f>BO17*$B$16/12</f>
        <v>0</v>
      </c>
      <c r="BQ16" s="7">
        <f t="shared" ref="BQ16:CA16" si="140">BP17*$B$16/12</f>
        <v>0</v>
      </c>
      <c r="BR16" s="7">
        <f t="shared" si="140"/>
        <v>0</v>
      </c>
      <c r="BS16" s="7">
        <f t="shared" si="140"/>
        <v>0</v>
      </c>
      <c r="BT16" s="7">
        <f t="shared" si="140"/>
        <v>0</v>
      </c>
      <c r="BU16" s="7">
        <f t="shared" si="140"/>
        <v>0</v>
      </c>
      <c r="BV16" s="7">
        <f t="shared" si="140"/>
        <v>0</v>
      </c>
      <c r="BW16" s="7">
        <f t="shared" si="140"/>
        <v>0</v>
      </c>
      <c r="BX16" s="7">
        <f t="shared" si="140"/>
        <v>0</v>
      </c>
      <c r="BY16" s="7">
        <f t="shared" si="140"/>
        <v>0</v>
      </c>
      <c r="BZ16" s="7">
        <f t="shared" si="140"/>
        <v>0</v>
      </c>
      <c r="CA16" s="7">
        <f t="shared" si="140"/>
        <v>0</v>
      </c>
      <c r="CB16" s="97">
        <f>SUM(BP16:CA16)</f>
        <v>0</v>
      </c>
    </row>
    <row r="17" spans="1:80">
      <c r="A17" s="40" t="s">
        <v>181</v>
      </c>
      <c r="B17" s="189">
        <f>Annahmen!C20</f>
        <v>0</v>
      </c>
      <c r="C17" s="189">
        <f>B17-C15</f>
        <v>0</v>
      </c>
      <c r="D17" s="189">
        <f t="shared" ref="D17:O17" si="141">C17-D15</f>
        <v>0</v>
      </c>
      <c r="E17" s="189">
        <f t="shared" si="141"/>
        <v>0</v>
      </c>
      <c r="F17" s="189">
        <f t="shared" si="141"/>
        <v>0</v>
      </c>
      <c r="G17" s="189">
        <f t="shared" si="141"/>
        <v>0</v>
      </c>
      <c r="H17" s="189">
        <f t="shared" si="141"/>
        <v>0</v>
      </c>
      <c r="I17" s="189">
        <f t="shared" si="141"/>
        <v>0</v>
      </c>
      <c r="J17" s="189">
        <f t="shared" si="141"/>
        <v>0</v>
      </c>
      <c r="K17" s="189">
        <f t="shared" si="141"/>
        <v>0</v>
      </c>
      <c r="L17" s="189">
        <f t="shared" si="141"/>
        <v>0</v>
      </c>
      <c r="M17" s="189">
        <f t="shared" si="141"/>
        <v>0</v>
      </c>
      <c r="N17" s="189">
        <f t="shared" si="141"/>
        <v>0</v>
      </c>
      <c r="O17" s="97">
        <f>N17</f>
        <v>0</v>
      </c>
      <c r="P17" s="189">
        <f>O17-P15</f>
        <v>0</v>
      </c>
      <c r="Q17" s="189">
        <f t="shared" ref="Q17:AA17" si="142">P17-Q15</f>
        <v>0</v>
      </c>
      <c r="R17" s="189">
        <f t="shared" si="142"/>
        <v>0</v>
      </c>
      <c r="S17" s="189">
        <f t="shared" si="142"/>
        <v>0</v>
      </c>
      <c r="T17" s="189">
        <f t="shared" si="142"/>
        <v>0</v>
      </c>
      <c r="U17" s="189">
        <f t="shared" si="142"/>
        <v>0</v>
      </c>
      <c r="V17" s="189">
        <f t="shared" si="142"/>
        <v>0</v>
      </c>
      <c r="W17" s="189">
        <f t="shared" si="142"/>
        <v>0</v>
      </c>
      <c r="X17" s="189">
        <f t="shared" si="142"/>
        <v>0</v>
      </c>
      <c r="Y17" s="189">
        <f t="shared" si="142"/>
        <v>0</v>
      </c>
      <c r="Z17" s="189">
        <f t="shared" si="142"/>
        <v>0</v>
      </c>
      <c r="AA17" s="189">
        <f t="shared" si="142"/>
        <v>0</v>
      </c>
      <c r="AB17" s="97">
        <f>AA17</f>
        <v>0</v>
      </c>
      <c r="AC17" s="189">
        <f>AB17-AC15</f>
        <v>0</v>
      </c>
      <c r="AD17" s="189">
        <f t="shared" ref="AD17:AN17" si="143">AC17-AD15</f>
        <v>0</v>
      </c>
      <c r="AE17" s="189">
        <f t="shared" si="143"/>
        <v>0</v>
      </c>
      <c r="AF17" s="189">
        <f t="shared" si="143"/>
        <v>0</v>
      </c>
      <c r="AG17" s="189">
        <f t="shared" si="143"/>
        <v>0</v>
      </c>
      <c r="AH17" s="189">
        <f t="shared" si="143"/>
        <v>0</v>
      </c>
      <c r="AI17" s="189">
        <f t="shared" si="143"/>
        <v>0</v>
      </c>
      <c r="AJ17" s="189">
        <f t="shared" si="143"/>
        <v>0</v>
      </c>
      <c r="AK17" s="189">
        <f t="shared" si="143"/>
        <v>0</v>
      </c>
      <c r="AL17" s="189">
        <f t="shared" si="143"/>
        <v>0</v>
      </c>
      <c r="AM17" s="189">
        <f t="shared" si="143"/>
        <v>0</v>
      </c>
      <c r="AN17" s="189">
        <f t="shared" si="143"/>
        <v>0</v>
      </c>
      <c r="AO17" s="97">
        <f>AN17</f>
        <v>0</v>
      </c>
      <c r="AP17" s="189">
        <f>AO17-AP15</f>
        <v>0</v>
      </c>
      <c r="AQ17" s="189">
        <f t="shared" ref="AQ17:BA17" si="144">AP17-AQ15</f>
        <v>0</v>
      </c>
      <c r="AR17" s="189">
        <f t="shared" si="144"/>
        <v>0</v>
      </c>
      <c r="AS17" s="189">
        <f t="shared" si="144"/>
        <v>0</v>
      </c>
      <c r="AT17" s="189">
        <f t="shared" si="144"/>
        <v>0</v>
      </c>
      <c r="AU17" s="189">
        <f t="shared" si="144"/>
        <v>0</v>
      </c>
      <c r="AV17" s="189">
        <f t="shared" si="144"/>
        <v>0</v>
      </c>
      <c r="AW17" s="189">
        <f t="shared" si="144"/>
        <v>0</v>
      </c>
      <c r="AX17" s="189">
        <f t="shared" si="144"/>
        <v>0</v>
      </c>
      <c r="AY17" s="189">
        <f t="shared" si="144"/>
        <v>0</v>
      </c>
      <c r="AZ17" s="189">
        <f t="shared" si="144"/>
        <v>0</v>
      </c>
      <c r="BA17" s="189">
        <f t="shared" si="144"/>
        <v>0</v>
      </c>
      <c r="BB17" s="97">
        <f>BA17</f>
        <v>0</v>
      </c>
      <c r="BC17" s="189">
        <f>BB17-BC15</f>
        <v>0</v>
      </c>
      <c r="BD17" s="189">
        <f t="shared" ref="BD17:BN17" si="145">BC17-BD15</f>
        <v>0</v>
      </c>
      <c r="BE17" s="189">
        <f t="shared" si="145"/>
        <v>0</v>
      </c>
      <c r="BF17" s="189">
        <f t="shared" si="145"/>
        <v>0</v>
      </c>
      <c r="BG17" s="189">
        <f t="shared" si="145"/>
        <v>0</v>
      </c>
      <c r="BH17" s="189">
        <f t="shared" si="145"/>
        <v>0</v>
      </c>
      <c r="BI17" s="189">
        <f t="shared" si="145"/>
        <v>0</v>
      </c>
      <c r="BJ17" s="189">
        <f t="shared" si="145"/>
        <v>0</v>
      </c>
      <c r="BK17" s="189">
        <f t="shared" si="145"/>
        <v>0</v>
      </c>
      <c r="BL17" s="189">
        <f t="shared" si="145"/>
        <v>0</v>
      </c>
      <c r="BM17" s="189">
        <f t="shared" si="145"/>
        <v>0</v>
      </c>
      <c r="BN17" s="189">
        <f t="shared" si="145"/>
        <v>0</v>
      </c>
      <c r="BO17" s="97">
        <f>BN17</f>
        <v>0</v>
      </c>
      <c r="BP17" s="189">
        <f>BO17-BP15</f>
        <v>0</v>
      </c>
      <c r="BQ17" s="189">
        <f t="shared" ref="BQ17:CA17" si="146">BP17-BQ15</f>
        <v>0</v>
      </c>
      <c r="BR17" s="189">
        <f t="shared" si="146"/>
        <v>0</v>
      </c>
      <c r="BS17" s="189">
        <f t="shared" si="146"/>
        <v>0</v>
      </c>
      <c r="BT17" s="189">
        <f t="shared" si="146"/>
        <v>0</v>
      </c>
      <c r="BU17" s="189">
        <f t="shared" si="146"/>
        <v>0</v>
      </c>
      <c r="BV17" s="189">
        <f t="shared" si="146"/>
        <v>0</v>
      </c>
      <c r="BW17" s="189">
        <f t="shared" si="146"/>
        <v>0</v>
      </c>
      <c r="BX17" s="189">
        <f t="shared" si="146"/>
        <v>0</v>
      </c>
      <c r="BY17" s="189">
        <f t="shared" si="146"/>
        <v>0</v>
      </c>
      <c r="BZ17" s="189">
        <f t="shared" si="146"/>
        <v>0</v>
      </c>
      <c r="CA17" s="189">
        <f>BZ17-CA15</f>
        <v>0</v>
      </c>
      <c r="CB17" s="97">
        <f>CA17</f>
        <v>0</v>
      </c>
    </row>
    <row r="18" spans="1:80">
      <c r="A18" s="40"/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97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97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97"/>
      <c r="AP18" s="189"/>
      <c r="AQ18" s="189"/>
      <c r="AR18" s="189"/>
      <c r="AS18" s="189"/>
      <c r="AT18" s="189"/>
      <c r="AU18" s="189"/>
      <c r="AV18" s="189"/>
      <c r="AW18" s="189"/>
      <c r="AX18" s="189"/>
      <c r="AY18" s="189"/>
      <c r="AZ18" s="189"/>
      <c r="BA18" s="189"/>
      <c r="BB18" s="97"/>
      <c r="BC18" s="189"/>
      <c r="BD18" s="189"/>
      <c r="BE18" s="189"/>
      <c r="BF18" s="189"/>
      <c r="BG18" s="189"/>
      <c r="BH18" s="189"/>
      <c r="BI18" s="189"/>
      <c r="BJ18" s="189"/>
      <c r="BK18" s="189"/>
      <c r="BL18" s="189"/>
      <c r="BM18" s="189"/>
      <c r="BN18" s="189"/>
      <c r="BO18" s="97"/>
      <c r="BP18" s="189"/>
      <c r="BQ18" s="189"/>
      <c r="BR18" s="189"/>
      <c r="BS18" s="189"/>
      <c r="BT18" s="189"/>
      <c r="BU18" s="189"/>
      <c r="BV18" s="189"/>
      <c r="BW18" s="189"/>
      <c r="BX18" s="189"/>
      <c r="BY18" s="189"/>
      <c r="BZ18" s="189"/>
      <c r="CA18" s="189"/>
      <c r="CB18" s="97"/>
    </row>
    <row r="19" spans="1:80" ht="17.25" customHeight="1">
      <c r="A19" s="218" t="s">
        <v>183</v>
      </c>
      <c r="B19" s="218"/>
      <c r="C19" s="92">
        <f>C6+C16+C11</f>
        <v>250</v>
      </c>
      <c r="D19" s="92">
        <f t="shared" ref="D19:BO19" si="147">D6+D16+D11</f>
        <v>246.5277777777778</v>
      </c>
      <c r="E19" s="92">
        <f t="shared" si="147"/>
        <v>243.05555555555554</v>
      </c>
      <c r="F19" s="92">
        <f t="shared" si="147"/>
        <v>239.58333333333334</v>
      </c>
      <c r="G19" s="92">
        <f t="shared" si="147"/>
        <v>236.11111111111109</v>
      </c>
      <c r="H19" s="92">
        <f t="shared" si="147"/>
        <v>232.63888888888883</v>
      </c>
      <c r="I19" s="92">
        <f t="shared" si="147"/>
        <v>229.16666666666663</v>
      </c>
      <c r="J19" s="92">
        <f t="shared" si="147"/>
        <v>225.69444444444437</v>
      </c>
      <c r="K19" s="92">
        <f t="shared" si="147"/>
        <v>222.22222222222217</v>
      </c>
      <c r="L19" s="92">
        <f t="shared" si="147"/>
        <v>218.74999999999991</v>
      </c>
      <c r="M19" s="92">
        <f t="shared" si="147"/>
        <v>215.27777777777769</v>
      </c>
      <c r="N19" s="92">
        <f t="shared" si="147"/>
        <v>211.80555555555546</v>
      </c>
      <c r="O19" s="92">
        <f t="shared" si="147"/>
        <v>2770.8333333333335</v>
      </c>
      <c r="P19" s="92">
        <f t="shared" si="147"/>
        <v>583.33333333333326</v>
      </c>
      <c r="Q19" s="92">
        <f t="shared" si="147"/>
        <v>574.65277777777771</v>
      </c>
      <c r="R19" s="92">
        <f t="shared" si="147"/>
        <v>565.97222222222206</v>
      </c>
      <c r="S19" s="92">
        <f t="shared" si="147"/>
        <v>557.29166666666652</v>
      </c>
      <c r="T19" s="92">
        <f t="shared" si="147"/>
        <v>548.61111111111097</v>
      </c>
      <c r="U19" s="92">
        <f t="shared" si="147"/>
        <v>539.93055555555543</v>
      </c>
      <c r="V19" s="92">
        <f t="shared" si="147"/>
        <v>531.24999999999977</v>
      </c>
      <c r="W19" s="92">
        <f t="shared" si="147"/>
        <v>522.56944444444434</v>
      </c>
      <c r="X19" s="92">
        <f t="shared" si="147"/>
        <v>513.88888888888869</v>
      </c>
      <c r="Y19" s="92">
        <f t="shared" si="147"/>
        <v>505.20833333333314</v>
      </c>
      <c r="Z19" s="92">
        <f t="shared" si="147"/>
        <v>496.5277777777776</v>
      </c>
      <c r="AA19" s="92">
        <f t="shared" si="147"/>
        <v>487.84722222222194</v>
      </c>
      <c r="AB19" s="92">
        <f t="shared" si="147"/>
        <v>6427.0833333333321</v>
      </c>
      <c r="AC19" s="92">
        <f t="shared" si="147"/>
        <v>479.1666666666664</v>
      </c>
      <c r="AD19" s="92">
        <f t="shared" si="147"/>
        <v>470.48611111111086</v>
      </c>
      <c r="AE19" s="92">
        <f t="shared" si="147"/>
        <v>461.80555555555532</v>
      </c>
      <c r="AF19" s="92">
        <f t="shared" si="147"/>
        <v>453.12499999999977</v>
      </c>
      <c r="AG19" s="92">
        <f t="shared" si="147"/>
        <v>444.44444444444423</v>
      </c>
      <c r="AH19" s="92">
        <f t="shared" si="147"/>
        <v>435.76388888888857</v>
      </c>
      <c r="AI19" s="92">
        <f t="shared" si="147"/>
        <v>427.08333333333303</v>
      </c>
      <c r="AJ19" s="92">
        <f t="shared" si="147"/>
        <v>418.40277777777749</v>
      </c>
      <c r="AK19" s="92">
        <f t="shared" si="147"/>
        <v>409.72222222222189</v>
      </c>
      <c r="AL19" s="92">
        <f t="shared" si="147"/>
        <v>401.0416666666664</v>
      </c>
      <c r="AM19" s="92">
        <f t="shared" si="147"/>
        <v>392.36111111111086</v>
      </c>
      <c r="AN19" s="92">
        <f t="shared" si="147"/>
        <v>383.68055555555526</v>
      </c>
      <c r="AO19" s="92">
        <f t="shared" si="147"/>
        <v>5177.0833333333303</v>
      </c>
      <c r="AP19" s="92">
        <f t="shared" si="147"/>
        <v>374.99999999999972</v>
      </c>
      <c r="AQ19" s="92">
        <f t="shared" si="147"/>
        <v>366.31944444444412</v>
      </c>
      <c r="AR19" s="92">
        <f t="shared" si="147"/>
        <v>357.63888888888863</v>
      </c>
      <c r="AS19" s="92">
        <f t="shared" si="147"/>
        <v>348.95833333333303</v>
      </c>
      <c r="AT19" s="92">
        <f t="shared" si="147"/>
        <v>340.27777777777749</v>
      </c>
      <c r="AU19" s="92">
        <f t="shared" si="147"/>
        <v>331.59722222222194</v>
      </c>
      <c r="AV19" s="92">
        <f t="shared" si="147"/>
        <v>322.9166666666664</v>
      </c>
      <c r="AW19" s="92">
        <f t="shared" si="147"/>
        <v>314.23611111111086</v>
      </c>
      <c r="AX19" s="92">
        <f t="shared" si="147"/>
        <v>305.55555555555532</v>
      </c>
      <c r="AY19" s="92">
        <f t="shared" si="147"/>
        <v>296.87499999999977</v>
      </c>
      <c r="AZ19" s="92">
        <f t="shared" si="147"/>
        <v>288.19444444444417</v>
      </c>
      <c r="BA19" s="92">
        <f t="shared" si="147"/>
        <v>279.51388888888869</v>
      </c>
      <c r="BB19" s="92">
        <f t="shared" si="147"/>
        <v>3927.0833333333303</v>
      </c>
      <c r="BC19" s="92">
        <f t="shared" si="147"/>
        <v>270.83333333333309</v>
      </c>
      <c r="BD19" s="92">
        <f t="shared" si="147"/>
        <v>262.15277777777754</v>
      </c>
      <c r="BE19" s="92">
        <f t="shared" si="147"/>
        <v>253.472222222222</v>
      </c>
      <c r="BF19" s="92">
        <f t="shared" si="147"/>
        <v>244.79166666666646</v>
      </c>
      <c r="BG19" s="92">
        <f t="shared" si="147"/>
        <v>236.11111111111089</v>
      </c>
      <c r="BH19" s="92">
        <f t="shared" si="147"/>
        <v>227.43055555555534</v>
      </c>
      <c r="BI19" s="92">
        <f t="shared" si="147"/>
        <v>218.74999999999977</v>
      </c>
      <c r="BJ19" s="92">
        <f t="shared" si="147"/>
        <v>210.0694444444442</v>
      </c>
      <c r="BK19" s="92">
        <f t="shared" si="147"/>
        <v>201.38888888888866</v>
      </c>
      <c r="BL19" s="92">
        <f t="shared" si="147"/>
        <v>192.70833333333312</v>
      </c>
      <c r="BM19" s="92">
        <f t="shared" si="147"/>
        <v>184.02777777777754</v>
      </c>
      <c r="BN19" s="92">
        <f t="shared" si="147"/>
        <v>175.347222222222</v>
      </c>
      <c r="BO19" s="92">
        <f t="shared" si="147"/>
        <v>2677.0833333333308</v>
      </c>
      <c r="BP19" s="92">
        <f t="shared" ref="BP19:CB19" si="148">BP6+BP16+BP11</f>
        <v>166.66666666666643</v>
      </c>
      <c r="BQ19" s="92">
        <f t="shared" si="148"/>
        <v>157.98611111111086</v>
      </c>
      <c r="BR19" s="92">
        <f t="shared" si="148"/>
        <v>149.30555555555532</v>
      </c>
      <c r="BS19" s="92">
        <f t="shared" si="148"/>
        <v>140.62499999999974</v>
      </c>
      <c r="BT19" s="92">
        <f t="shared" si="148"/>
        <v>131.9444444444442</v>
      </c>
      <c r="BU19" s="92">
        <f t="shared" si="148"/>
        <v>123.26388888888864</v>
      </c>
      <c r="BV19" s="92">
        <f t="shared" si="148"/>
        <v>114.58333333333309</v>
      </c>
      <c r="BW19" s="92">
        <f t="shared" si="148"/>
        <v>105.90277777777754</v>
      </c>
      <c r="BX19" s="92">
        <f t="shared" si="148"/>
        <v>97.222222222221973</v>
      </c>
      <c r="BY19" s="92">
        <f t="shared" si="148"/>
        <v>88.54166666666643</v>
      </c>
      <c r="BZ19" s="92">
        <f t="shared" si="148"/>
        <v>79.861111111110873</v>
      </c>
      <c r="CA19" s="92">
        <f t="shared" si="148"/>
        <v>71.180555555555301</v>
      </c>
      <c r="CB19" s="92">
        <f t="shared" si="148"/>
        <v>1427.0833333333305</v>
      </c>
    </row>
    <row r="20" spans="1:80">
      <c r="O20" s="95"/>
      <c r="AB20" s="95"/>
      <c r="AO20" s="95"/>
      <c r="BB20" s="95"/>
      <c r="BO20" s="95"/>
      <c r="CB20" s="95"/>
    </row>
    <row r="21" spans="1:80">
      <c r="A21" s="90" t="s">
        <v>184</v>
      </c>
      <c r="B21" s="90"/>
      <c r="C21" s="92">
        <f t="shared" ref="C21:BN21" si="149">C5+C15+C10</f>
        <v>833.33333333333337</v>
      </c>
      <c r="D21" s="92">
        <f t="shared" si="149"/>
        <v>833.33333333333337</v>
      </c>
      <c r="E21" s="92">
        <f t="shared" si="149"/>
        <v>833.33333333333337</v>
      </c>
      <c r="F21" s="92">
        <f t="shared" si="149"/>
        <v>833.33333333333337</v>
      </c>
      <c r="G21" s="92">
        <f t="shared" si="149"/>
        <v>833.33333333333337</v>
      </c>
      <c r="H21" s="92">
        <f t="shared" si="149"/>
        <v>833.33333333333337</v>
      </c>
      <c r="I21" s="92">
        <f t="shared" si="149"/>
        <v>833.33333333333337</v>
      </c>
      <c r="J21" s="92">
        <f t="shared" si="149"/>
        <v>833.33333333333337</v>
      </c>
      <c r="K21" s="92">
        <f t="shared" si="149"/>
        <v>833.33333333333337</v>
      </c>
      <c r="L21" s="92">
        <f t="shared" si="149"/>
        <v>833.33333333333337</v>
      </c>
      <c r="M21" s="92">
        <f t="shared" si="149"/>
        <v>833.33333333333337</v>
      </c>
      <c r="N21" s="92">
        <f t="shared" si="149"/>
        <v>833.33333333333337</v>
      </c>
      <c r="O21" s="92">
        <f t="shared" si="149"/>
        <v>10000</v>
      </c>
      <c r="P21" s="92">
        <f t="shared" si="149"/>
        <v>2083.3333333333335</v>
      </c>
      <c r="Q21" s="92">
        <f t="shared" si="149"/>
        <v>2083.3333333333335</v>
      </c>
      <c r="R21" s="92">
        <f t="shared" si="149"/>
        <v>2083.3333333333335</v>
      </c>
      <c r="S21" s="92">
        <f t="shared" si="149"/>
        <v>2083.3333333333335</v>
      </c>
      <c r="T21" s="92">
        <f t="shared" si="149"/>
        <v>2083.3333333333335</v>
      </c>
      <c r="U21" s="92">
        <f t="shared" si="149"/>
        <v>2083.3333333333335</v>
      </c>
      <c r="V21" s="92">
        <f t="shared" si="149"/>
        <v>2083.3333333333335</v>
      </c>
      <c r="W21" s="92">
        <f t="shared" si="149"/>
        <v>2083.3333333333335</v>
      </c>
      <c r="X21" s="92">
        <f t="shared" si="149"/>
        <v>2083.3333333333335</v>
      </c>
      <c r="Y21" s="92">
        <f t="shared" si="149"/>
        <v>2083.3333333333335</v>
      </c>
      <c r="Z21" s="92">
        <f t="shared" si="149"/>
        <v>2083.3333333333335</v>
      </c>
      <c r="AA21" s="92">
        <f t="shared" si="149"/>
        <v>2083.3333333333335</v>
      </c>
      <c r="AB21" s="92">
        <f t="shared" si="149"/>
        <v>25000</v>
      </c>
      <c r="AC21" s="92">
        <f t="shared" si="149"/>
        <v>2083.3333333333335</v>
      </c>
      <c r="AD21" s="92">
        <f t="shared" si="149"/>
        <v>2083.3333333333335</v>
      </c>
      <c r="AE21" s="92">
        <f t="shared" si="149"/>
        <v>2083.3333333333335</v>
      </c>
      <c r="AF21" s="92">
        <f t="shared" si="149"/>
        <v>2083.3333333333335</v>
      </c>
      <c r="AG21" s="92">
        <f t="shared" si="149"/>
        <v>2083.3333333333335</v>
      </c>
      <c r="AH21" s="92">
        <f t="shared" si="149"/>
        <v>2083.3333333333335</v>
      </c>
      <c r="AI21" s="92">
        <f t="shared" si="149"/>
        <v>2083.3333333333335</v>
      </c>
      <c r="AJ21" s="92">
        <f t="shared" si="149"/>
        <v>2083.3333333333335</v>
      </c>
      <c r="AK21" s="92">
        <f t="shared" si="149"/>
        <v>2083.3333333333335</v>
      </c>
      <c r="AL21" s="92">
        <f t="shared" si="149"/>
        <v>2083.3333333333335</v>
      </c>
      <c r="AM21" s="92">
        <f t="shared" si="149"/>
        <v>2083.3333333333335</v>
      </c>
      <c r="AN21" s="92">
        <f t="shared" si="149"/>
        <v>2083.3333333333335</v>
      </c>
      <c r="AO21" s="92">
        <f t="shared" si="149"/>
        <v>25000</v>
      </c>
      <c r="AP21" s="92">
        <f t="shared" si="149"/>
        <v>2083.3333333333335</v>
      </c>
      <c r="AQ21" s="92">
        <f t="shared" si="149"/>
        <v>2083.3333333333335</v>
      </c>
      <c r="AR21" s="92">
        <f t="shared" si="149"/>
        <v>2083.3333333333335</v>
      </c>
      <c r="AS21" s="92">
        <f t="shared" si="149"/>
        <v>2083.3333333333335</v>
      </c>
      <c r="AT21" s="92">
        <f t="shared" si="149"/>
        <v>2083.3333333333335</v>
      </c>
      <c r="AU21" s="92">
        <f t="shared" si="149"/>
        <v>2083.3333333333335</v>
      </c>
      <c r="AV21" s="92">
        <f t="shared" si="149"/>
        <v>2083.3333333333335</v>
      </c>
      <c r="AW21" s="92">
        <f t="shared" si="149"/>
        <v>2083.3333333333335</v>
      </c>
      <c r="AX21" s="92">
        <f t="shared" si="149"/>
        <v>2083.3333333333335</v>
      </c>
      <c r="AY21" s="92">
        <f t="shared" si="149"/>
        <v>2083.3333333333335</v>
      </c>
      <c r="AZ21" s="92">
        <f t="shared" si="149"/>
        <v>2083.3333333333335</v>
      </c>
      <c r="BA21" s="92">
        <f t="shared" si="149"/>
        <v>2083.3333333333335</v>
      </c>
      <c r="BB21" s="92">
        <f t="shared" si="149"/>
        <v>25000</v>
      </c>
      <c r="BC21" s="92">
        <f t="shared" si="149"/>
        <v>2083.3333333333335</v>
      </c>
      <c r="BD21" s="92">
        <f t="shared" si="149"/>
        <v>2083.3333333333335</v>
      </c>
      <c r="BE21" s="92">
        <f t="shared" si="149"/>
        <v>2083.3333333333335</v>
      </c>
      <c r="BF21" s="92">
        <f t="shared" si="149"/>
        <v>2083.3333333333335</v>
      </c>
      <c r="BG21" s="92">
        <f t="shared" si="149"/>
        <v>2083.3333333333335</v>
      </c>
      <c r="BH21" s="92">
        <f t="shared" si="149"/>
        <v>2083.3333333333335</v>
      </c>
      <c r="BI21" s="92">
        <f t="shared" si="149"/>
        <v>2083.3333333333335</v>
      </c>
      <c r="BJ21" s="92">
        <f t="shared" si="149"/>
        <v>2083.3333333333335</v>
      </c>
      <c r="BK21" s="92">
        <f t="shared" si="149"/>
        <v>2083.3333333333335</v>
      </c>
      <c r="BL21" s="92">
        <f t="shared" si="149"/>
        <v>2083.3333333333335</v>
      </c>
      <c r="BM21" s="92">
        <f t="shared" si="149"/>
        <v>2083.3333333333335</v>
      </c>
      <c r="BN21" s="92">
        <f t="shared" si="149"/>
        <v>2083.3333333333335</v>
      </c>
      <c r="BO21" s="92">
        <f t="shared" ref="BO21:CA21" si="150">BO5+BO15+BO10</f>
        <v>25000</v>
      </c>
      <c r="BP21" s="92">
        <f t="shared" si="150"/>
        <v>2083.3333333333335</v>
      </c>
      <c r="BQ21" s="92">
        <f t="shared" si="150"/>
        <v>2083.3333333333335</v>
      </c>
      <c r="BR21" s="92">
        <f t="shared" si="150"/>
        <v>2083.3333333333335</v>
      </c>
      <c r="BS21" s="92">
        <f t="shared" si="150"/>
        <v>2083.3333333333335</v>
      </c>
      <c r="BT21" s="92">
        <f t="shared" si="150"/>
        <v>2083.3333333333335</v>
      </c>
      <c r="BU21" s="92">
        <f t="shared" si="150"/>
        <v>2083.3333333333335</v>
      </c>
      <c r="BV21" s="92">
        <f t="shared" si="150"/>
        <v>2083.3333333333335</v>
      </c>
      <c r="BW21" s="92">
        <f t="shared" si="150"/>
        <v>2083.3333333333335</v>
      </c>
      <c r="BX21" s="92">
        <f t="shared" si="150"/>
        <v>2083.3333333333335</v>
      </c>
      <c r="BY21" s="92">
        <f t="shared" si="150"/>
        <v>2083.3333333333335</v>
      </c>
      <c r="BZ21" s="92">
        <f t="shared" si="150"/>
        <v>2083.3333333333335</v>
      </c>
      <c r="CA21" s="92">
        <f t="shared" si="150"/>
        <v>2083.3333333333335</v>
      </c>
      <c r="CB21" s="92">
        <f>CB5+CB15+CB10</f>
        <v>25000</v>
      </c>
    </row>
    <row r="22" spans="1:80">
      <c r="O22" s="95"/>
      <c r="AB22" s="95"/>
      <c r="AO22" s="95"/>
      <c r="BB22" s="95"/>
      <c r="BO22" s="95"/>
      <c r="CB22" s="95"/>
    </row>
    <row r="23" spans="1:80">
      <c r="A23" s="90" t="s">
        <v>185</v>
      </c>
      <c r="B23" s="90"/>
      <c r="C23" s="92">
        <f>C7+C17+C12</f>
        <v>59166.666666666664</v>
      </c>
      <c r="D23" s="92">
        <f t="shared" ref="D23:BO23" si="151">D7+D17+D12</f>
        <v>58333.333333333328</v>
      </c>
      <c r="E23" s="92">
        <f t="shared" si="151"/>
        <v>57499.999999999993</v>
      </c>
      <c r="F23" s="92">
        <f t="shared" si="151"/>
        <v>56666.666666666657</v>
      </c>
      <c r="G23" s="92">
        <f t="shared" si="151"/>
        <v>55833.333333333321</v>
      </c>
      <c r="H23" s="92">
        <f t="shared" si="151"/>
        <v>54999.999999999985</v>
      </c>
      <c r="I23" s="92">
        <f t="shared" si="151"/>
        <v>54166.66666666665</v>
      </c>
      <c r="J23" s="92">
        <f t="shared" si="151"/>
        <v>53333.333333333314</v>
      </c>
      <c r="K23" s="92">
        <f t="shared" si="151"/>
        <v>52499.999999999978</v>
      </c>
      <c r="L23" s="92">
        <f t="shared" si="151"/>
        <v>51666.666666666642</v>
      </c>
      <c r="M23" s="92">
        <f t="shared" si="151"/>
        <v>50833.333333333307</v>
      </c>
      <c r="N23" s="92">
        <f t="shared" si="151"/>
        <v>49999.999999999971</v>
      </c>
      <c r="O23" s="92">
        <f t="shared" si="151"/>
        <v>49999.999999999971</v>
      </c>
      <c r="P23" s="92">
        <f t="shared" si="151"/>
        <v>137916.66666666663</v>
      </c>
      <c r="Q23" s="92">
        <f t="shared" si="151"/>
        <v>135833.33333333331</v>
      </c>
      <c r="R23" s="92">
        <f t="shared" si="151"/>
        <v>133749.99999999997</v>
      </c>
      <c r="S23" s="92">
        <f t="shared" si="151"/>
        <v>131666.66666666663</v>
      </c>
      <c r="T23" s="92">
        <f t="shared" si="151"/>
        <v>129583.33333333328</v>
      </c>
      <c r="U23" s="92">
        <f t="shared" si="151"/>
        <v>127499.99999999996</v>
      </c>
      <c r="V23" s="92">
        <f t="shared" si="151"/>
        <v>125416.66666666663</v>
      </c>
      <c r="W23" s="92">
        <f t="shared" si="151"/>
        <v>123333.33333333328</v>
      </c>
      <c r="X23" s="92">
        <f t="shared" si="151"/>
        <v>121249.99999999994</v>
      </c>
      <c r="Y23" s="92">
        <f t="shared" si="151"/>
        <v>119166.66666666661</v>
      </c>
      <c r="Z23" s="92">
        <f t="shared" si="151"/>
        <v>117083.33333333328</v>
      </c>
      <c r="AA23" s="92">
        <f t="shared" si="151"/>
        <v>114999.99999999994</v>
      </c>
      <c r="AB23" s="92">
        <f t="shared" si="151"/>
        <v>114999.99999999994</v>
      </c>
      <c r="AC23" s="92">
        <f t="shared" si="151"/>
        <v>112916.6666666666</v>
      </c>
      <c r="AD23" s="92">
        <f t="shared" si="151"/>
        <v>110833.33333333327</v>
      </c>
      <c r="AE23" s="92">
        <f t="shared" si="151"/>
        <v>108749.99999999994</v>
      </c>
      <c r="AF23" s="92">
        <f t="shared" si="151"/>
        <v>106666.6666666666</v>
      </c>
      <c r="AG23" s="92">
        <f t="shared" si="151"/>
        <v>104583.33333333326</v>
      </c>
      <c r="AH23" s="92">
        <f t="shared" si="151"/>
        <v>102499.99999999993</v>
      </c>
      <c r="AI23" s="92">
        <f t="shared" si="151"/>
        <v>100416.6666666666</v>
      </c>
      <c r="AJ23" s="92">
        <f t="shared" si="151"/>
        <v>98333.333333333256</v>
      </c>
      <c r="AK23" s="92">
        <f t="shared" si="151"/>
        <v>96249.999999999927</v>
      </c>
      <c r="AL23" s="92">
        <f t="shared" si="151"/>
        <v>94166.666666666599</v>
      </c>
      <c r="AM23" s="92">
        <f t="shared" si="151"/>
        <v>92083.333333333256</v>
      </c>
      <c r="AN23" s="92">
        <f t="shared" si="151"/>
        <v>89999.999999999927</v>
      </c>
      <c r="AO23" s="92">
        <f t="shared" si="151"/>
        <v>89999.999999999927</v>
      </c>
      <c r="AP23" s="92">
        <f t="shared" si="151"/>
        <v>87916.666666666599</v>
      </c>
      <c r="AQ23" s="92">
        <f t="shared" si="151"/>
        <v>85833.333333333256</v>
      </c>
      <c r="AR23" s="92">
        <f t="shared" si="151"/>
        <v>83749.999999999927</v>
      </c>
      <c r="AS23" s="92">
        <f t="shared" si="151"/>
        <v>81666.666666666599</v>
      </c>
      <c r="AT23" s="92">
        <f t="shared" si="151"/>
        <v>79583.33333333327</v>
      </c>
      <c r="AU23" s="92">
        <f t="shared" si="151"/>
        <v>77499.999999999942</v>
      </c>
      <c r="AV23" s="92">
        <f t="shared" si="151"/>
        <v>75416.666666666599</v>
      </c>
      <c r="AW23" s="92">
        <f t="shared" si="151"/>
        <v>73333.33333333327</v>
      </c>
      <c r="AX23" s="92">
        <f t="shared" si="151"/>
        <v>71249.999999999942</v>
      </c>
      <c r="AY23" s="92">
        <f t="shared" si="151"/>
        <v>69166.666666666599</v>
      </c>
      <c r="AZ23" s="92">
        <f t="shared" si="151"/>
        <v>67083.33333333327</v>
      </c>
      <c r="BA23" s="92">
        <f t="shared" si="151"/>
        <v>64999.999999999942</v>
      </c>
      <c r="BB23" s="92">
        <f t="shared" si="151"/>
        <v>64999.999999999942</v>
      </c>
      <c r="BC23" s="92">
        <f t="shared" si="151"/>
        <v>62916.666666666613</v>
      </c>
      <c r="BD23" s="92">
        <f t="shared" si="151"/>
        <v>60833.333333333278</v>
      </c>
      <c r="BE23" s="92">
        <f t="shared" si="151"/>
        <v>58749.999999999942</v>
      </c>
      <c r="BF23" s="92">
        <f t="shared" si="151"/>
        <v>56666.666666666613</v>
      </c>
      <c r="BG23" s="92">
        <f t="shared" si="151"/>
        <v>54583.333333333278</v>
      </c>
      <c r="BH23" s="92">
        <f t="shared" si="151"/>
        <v>52499.999999999942</v>
      </c>
      <c r="BI23" s="92">
        <f t="shared" si="151"/>
        <v>50416.666666666613</v>
      </c>
      <c r="BJ23" s="92">
        <f t="shared" si="151"/>
        <v>48333.333333333278</v>
      </c>
      <c r="BK23" s="92">
        <f t="shared" si="151"/>
        <v>46249.999999999942</v>
      </c>
      <c r="BL23" s="92">
        <f t="shared" si="151"/>
        <v>44166.666666666613</v>
      </c>
      <c r="BM23" s="92">
        <f t="shared" si="151"/>
        <v>42083.333333333278</v>
      </c>
      <c r="BN23" s="92">
        <f t="shared" si="151"/>
        <v>39999.999999999942</v>
      </c>
      <c r="BO23" s="92">
        <f t="shared" si="151"/>
        <v>39999.999999999942</v>
      </c>
      <c r="BP23" s="92">
        <f t="shared" ref="BP23:CB23" si="152">BP7+BP17+BP12</f>
        <v>37916.666666666606</v>
      </c>
      <c r="BQ23" s="92">
        <f t="shared" si="152"/>
        <v>35833.33333333327</v>
      </c>
      <c r="BR23" s="92">
        <f t="shared" si="152"/>
        <v>33749.999999999942</v>
      </c>
      <c r="BS23" s="92">
        <f t="shared" si="152"/>
        <v>31666.666666666606</v>
      </c>
      <c r="BT23" s="92">
        <f t="shared" si="152"/>
        <v>29583.333333333274</v>
      </c>
      <c r="BU23" s="92">
        <f t="shared" si="152"/>
        <v>27499.999999999942</v>
      </c>
      <c r="BV23" s="92">
        <f t="shared" si="152"/>
        <v>25416.66666666661</v>
      </c>
      <c r="BW23" s="92">
        <f t="shared" si="152"/>
        <v>23333.333333333274</v>
      </c>
      <c r="BX23" s="92">
        <f t="shared" si="152"/>
        <v>21249.999999999942</v>
      </c>
      <c r="BY23" s="92">
        <f t="shared" si="152"/>
        <v>19166.66666666661</v>
      </c>
      <c r="BZ23" s="92">
        <f t="shared" si="152"/>
        <v>17083.333333333274</v>
      </c>
      <c r="CA23" s="92">
        <f t="shared" si="152"/>
        <v>14999.999999999942</v>
      </c>
      <c r="CB23" s="92">
        <f t="shared" si="152"/>
        <v>14999.999999999942</v>
      </c>
    </row>
  </sheetData>
  <mergeCells count="73">
    <mergeCell ref="A19:B19"/>
    <mergeCell ref="CA1:CA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BN1:BN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A1:BA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AN1:AN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A1:AA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N1:N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C39C-964A-4DC3-A590-AA68FCB0BC7E}">
  <dimension ref="A2:AD20"/>
  <sheetViews>
    <sheetView workbookViewId="0">
      <selection activeCell="E13" sqref="E13"/>
    </sheetView>
  </sheetViews>
  <sheetFormatPr defaultRowHeight="15" outlineLevelCol="1"/>
  <cols>
    <col min="1" max="1" width="26" style="119" customWidth="1"/>
    <col min="2" max="2" width="12.5703125" style="40" customWidth="1"/>
    <col min="3" max="3" width="15.7109375" customWidth="1"/>
    <col min="4" max="4" width="8" customWidth="1"/>
    <col min="5" max="5" width="13" customWidth="1" outlineLevel="1"/>
    <col min="6" max="16" width="10.7109375" customWidth="1" outlineLevel="1"/>
    <col min="17" max="17" width="12" style="67" customWidth="1"/>
    <col min="18" max="18" width="11.85546875" customWidth="1" outlineLevel="1"/>
    <col min="19" max="29" width="10.7109375" customWidth="1" outlineLevel="1"/>
    <col min="30" max="30" width="12.42578125" style="67" customWidth="1"/>
  </cols>
  <sheetData>
    <row r="2" spans="1:30" ht="18" customHeight="1">
      <c r="A2" s="120" t="s">
        <v>111</v>
      </c>
      <c r="B2" s="118" t="s">
        <v>186</v>
      </c>
      <c r="C2" s="112" t="s">
        <v>187</v>
      </c>
      <c r="D2" s="112" t="s">
        <v>188</v>
      </c>
      <c r="E2" s="114">
        <v>2025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71" t="s">
        <v>110</v>
      </c>
      <c r="R2" s="114">
        <v>2026</v>
      </c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71" t="s">
        <v>110</v>
      </c>
    </row>
    <row r="3" spans="1:30" s="41" customFormat="1">
      <c r="A3" s="121"/>
      <c r="B3" s="113" t="s">
        <v>189</v>
      </c>
      <c r="C3" s="113" t="s">
        <v>190</v>
      </c>
      <c r="D3" s="113" t="s">
        <v>191</v>
      </c>
      <c r="E3" s="115">
        <v>45658</v>
      </c>
      <c r="F3" s="115">
        <v>45689</v>
      </c>
      <c r="G3" s="115">
        <v>45717</v>
      </c>
      <c r="H3" s="115">
        <v>45748</v>
      </c>
      <c r="I3" s="115">
        <v>45778</v>
      </c>
      <c r="J3" s="115">
        <v>45809</v>
      </c>
      <c r="K3" s="115">
        <v>45839</v>
      </c>
      <c r="L3" s="115">
        <v>45870</v>
      </c>
      <c r="M3" s="115">
        <v>45901</v>
      </c>
      <c r="N3" s="115">
        <v>45931</v>
      </c>
      <c r="O3" s="115">
        <v>45962</v>
      </c>
      <c r="P3" s="115">
        <v>45992</v>
      </c>
      <c r="Q3" s="140">
        <v>2025</v>
      </c>
      <c r="R3" s="115">
        <v>46023</v>
      </c>
      <c r="S3" s="115">
        <v>46054</v>
      </c>
      <c r="T3" s="115">
        <v>46082</v>
      </c>
      <c r="U3" s="115">
        <v>46113</v>
      </c>
      <c r="V3" s="115">
        <v>46143</v>
      </c>
      <c r="W3" s="115">
        <v>46174</v>
      </c>
      <c r="X3" s="115">
        <v>46204</v>
      </c>
      <c r="Y3" s="115">
        <v>46235</v>
      </c>
      <c r="Z3" s="115">
        <v>46266</v>
      </c>
      <c r="AA3" s="115">
        <v>46296</v>
      </c>
      <c r="AB3" s="115">
        <v>46327</v>
      </c>
      <c r="AC3" s="115">
        <v>46357</v>
      </c>
      <c r="AD3" s="140">
        <v>2026</v>
      </c>
    </row>
    <row r="5" spans="1:30" s="65" customFormat="1">
      <c r="A5" s="170" t="s">
        <v>192</v>
      </c>
      <c r="Q5" s="141"/>
      <c r="AD5" s="141"/>
    </row>
    <row r="6" spans="1:30" s="117" customFormat="1" ht="16.5" customHeight="1">
      <c r="A6" s="122"/>
      <c r="E6" s="163">
        <v>0</v>
      </c>
      <c r="F6" s="163">
        <v>0</v>
      </c>
      <c r="G6" s="163">
        <v>0</v>
      </c>
      <c r="H6" s="163">
        <v>0</v>
      </c>
      <c r="I6" s="163">
        <v>0</v>
      </c>
      <c r="J6" s="163">
        <v>0</v>
      </c>
      <c r="K6" s="163">
        <v>0</v>
      </c>
      <c r="L6" s="163">
        <v>0</v>
      </c>
      <c r="M6" s="163">
        <v>0</v>
      </c>
      <c r="N6" s="163">
        <v>0</v>
      </c>
      <c r="O6" s="163">
        <v>0</v>
      </c>
      <c r="P6" s="163">
        <v>0</v>
      </c>
      <c r="Q6" s="179" t="s">
        <v>193</v>
      </c>
      <c r="R6" s="176">
        <v>0</v>
      </c>
      <c r="S6" s="176">
        <v>0</v>
      </c>
      <c r="T6" s="176">
        <v>0</v>
      </c>
      <c r="U6" s="176">
        <v>0</v>
      </c>
      <c r="V6" s="176">
        <v>0</v>
      </c>
      <c r="W6" s="176">
        <v>0</v>
      </c>
      <c r="X6" s="176">
        <v>0</v>
      </c>
      <c r="Y6" s="176">
        <v>0</v>
      </c>
      <c r="Z6" s="176">
        <v>0</v>
      </c>
      <c r="AA6" s="176">
        <v>0</v>
      </c>
      <c r="AB6" s="176">
        <v>0</v>
      </c>
      <c r="AC6" s="176">
        <v>0</v>
      </c>
      <c r="AD6" s="183">
        <v>0</v>
      </c>
    </row>
    <row r="7" spans="1:30">
      <c r="A7" s="162" t="s">
        <v>194</v>
      </c>
      <c r="B7" s="123">
        <f>Annahmen!E68</f>
        <v>65000</v>
      </c>
      <c r="C7" s="124">
        <f>Annahmen!D68</f>
        <v>45658</v>
      </c>
      <c r="D7" s="125">
        <f>Annahmen!B69</f>
        <v>13</v>
      </c>
      <c r="E7" s="178">
        <f>$Q$7/12</f>
        <v>416.66666666666669</v>
      </c>
      <c r="F7" s="178">
        <f>$Q$7/12</f>
        <v>416.66666666666669</v>
      </c>
      <c r="G7" s="178">
        <f>$Q$7/12</f>
        <v>416.66666666666669</v>
      </c>
      <c r="H7" s="178">
        <f>$Q$7/12</f>
        <v>416.66666666666669</v>
      </c>
      <c r="I7" s="178">
        <f>$Q$7/12</f>
        <v>416.66666666666669</v>
      </c>
      <c r="J7" s="178">
        <f>$Q$7/12</f>
        <v>416.66666666666669</v>
      </c>
      <c r="K7" s="178">
        <f>$Q$7/12</f>
        <v>416.66666666666669</v>
      </c>
      <c r="L7" s="178">
        <f>$Q$7/12</f>
        <v>416.66666666666669</v>
      </c>
      <c r="M7" s="178">
        <f>$Q$7/12</f>
        <v>416.66666666666669</v>
      </c>
      <c r="N7" s="178">
        <f>$Q$7/12</f>
        <v>416.66666666666669</v>
      </c>
      <c r="O7" s="178">
        <f>$Q$7/12</f>
        <v>416.66666666666669</v>
      </c>
      <c r="P7" s="178">
        <f>$Q$7/12</f>
        <v>416.66666666666669</v>
      </c>
      <c r="Q7" s="171">
        <f>$B$7/$D$7</f>
        <v>5000</v>
      </c>
      <c r="R7" s="178">
        <f>$AD$7/12</f>
        <v>416.66666666666669</v>
      </c>
      <c r="S7" s="178">
        <f>$AD$7/12</f>
        <v>416.66666666666669</v>
      </c>
      <c r="T7" s="178">
        <f>$AD$7/12</f>
        <v>416.66666666666669</v>
      </c>
      <c r="U7" s="178">
        <f>$AD$7/12</f>
        <v>416.66666666666669</v>
      </c>
      <c r="V7" s="178">
        <f>$AD$7/12</f>
        <v>416.66666666666669</v>
      </c>
      <c r="W7" s="178">
        <f>$AD$7/12</f>
        <v>416.66666666666669</v>
      </c>
      <c r="X7" s="178">
        <f>$AD$7/12</f>
        <v>416.66666666666669</v>
      </c>
      <c r="Y7" s="178">
        <f>$AD$7/12</f>
        <v>416.66666666666669</v>
      </c>
      <c r="Z7" s="178">
        <f>$AD$7/12</f>
        <v>416.66666666666669</v>
      </c>
      <c r="AA7" s="178">
        <f>$AD$7/12</f>
        <v>416.66666666666669</v>
      </c>
      <c r="AB7" s="178">
        <f>$AD$7/12</f>
        <v>416.66666666666669</v>
      </c>
      <c r="AC7" s="178">
        <f>$AD$7/12</f>
        <v>416.66666666666669</v>
      </c>
      <c r="AD7" s="184">
        <f>$B$7/$D$7</f>
        <v>5000</v>
      </c>
    </row>
    <row r="8" spans="1:30" s="41" customFormat="1">
      <c r="A8" s="158"/>
      <c r="E8" s="164" t="s">
        <v>193</v>
      </c>
      <c r="F8" s="164" t="s">
        <v>193</v>
      </c>
      <c r="G8" s="164" t="s">
        <v>193</v>
      </c>
      <c r="H8" s="164" t="s">
        <v>193</v>
      </c>
      <c r="I8" s="164" t="s">
        <v>193</v>
      </c>
      <c r="J8" s="164" t="s">
        <v>193</v>
      </c>
      <c r="K8" s="164" t="s">
        <v>193</v>
      </c>
      <c r="L8" s="164" t="s">
        <v>193</v>
      </c>
      <c r="M8" s="164" t="s">
        <v>193</v>
      </c>
      <c r="N8" s="164" t="s">
        <v>193</v>
      </c>
      <c r="O8" s="164" t="s">
        <v>193</v>
      </c>
      <c r="P8" s="164" t="s">
        <v>193</v>
      </c>
      <c r="Q8" s="180" t="s">
        <v>193</v>
      </c>
      <c r="R8" s="177">
        <v>0</v>
      </c>
      <c r="S8" s="177">
        <v>0</v>
      </c>
      <c r="T8" s="177">
        <v>0</v>
      </c>
      <c r="U8" s="177">
        <v>0</v>
      </c>
      <c r="V8" s="177">
        <v>0</v>
      </c>
      <c r="W8" s="177">
        <v>0</v>
      </c>
      <c r="X8" s="177">
        <v>0</v>
      </c>
      <c r="Y8" s="177">
        <v>0</v>
      </c>
      <c r="Z8" s="177">
        <v>0</v>
      </c>
      <c r="AA8" s="177">
        <v>0</v>
      </c>
      <c r="AB8" s="177">
        <v>0</v>
      </c>
      <c r="AC8" s="177">
        <v>0</v>
      </c>
      <c r="AD8" s="185">
        <v>0</v>
      </c>
    </row>
    <row r="9" spans="1:30" s="127" customFormat="1">
      <c r="A9" s="159" t="s">
        <v>195</v>
      </c>
      <c r="B9" s="130"/>
      <c r="C9" s="130"/>
      <c r="D9" s="130"/>
      <c r="E9" s="166">
        <f>SUM(E6:E8)</f>
        <v>416.66666666666669</v>
      </c>
      <c r="F9" s="166">
        <f>SUM(F6:F8)</f>
        <v>416.66666666666669</v>
      </c>
      <c r="G9" s="166">
        <f>SUM(G6:G8)</f>
        <v>416.66666666666669</v>
      </c>
      <c r="H9" s="166">
        <f>SUM(H6:H8)</f>
        <v>416.66666666666669</v>
      </c>
      <c r="I9" s="166">
        <f>SUM(I6:I8)</f>
        <v>416.66666666666669</v>
      </c>
      <c r="J9" s="166">
        <f>SUM(J6:J8)</f>
        <v>416.66666666666669</v>
      </c>
      <c r="K9" s="166">
        <f>SUM(K6:K8)</f>
        <v>416.66666666666669</v>
      </c>
      <c r="L9" s="166">
        <f>SUM(L6:L8)</f>
        <v>416.66666666666669</v>
      </c>
      <c r="M9" s="166">
        <f>SUM(M6:M8)</f>
        <v>416.66666666666669</v>
      </c>
      <c r="N9" s="166">
        <f>SUM(N6:N8)</f>
        <v>416.66666666666669</v>
      </c>
      <c r="O9" s="166">
        <f>SUM(O6:O8)</f>
        <v>416.66666666666669</v>
      </c>
      <c r="P9" s="166">
        <f>SUM(P6:P8)</f>
        <v>416.66666666666669</v>
      </c>
      <c r="Q9" s="181">
        <f>SUM(Q6:Q8)</f>
        <v>5000</v>
      </c>
      <c r="R9" s="166">
        <f>R7</f>
        <v>416.66666666666669</v>
      </c>
      <c r="S9" s="166">
        <f>S7</f>
        <v>416.66666666666669</v>
      </c>
      <c r="T9" s="166">
        <f>T7</f>
        <v>416.66666666666669</v>
      </c>
      <c r="U9" s="166">
        <f>U7</f>
        <v>416.66666666666669</v>
      </c>
      <c r="V9" s="166">
        <f>V7</f>
        <v>416.66666666666669</v>
      </c>
      <c r="W9" s="166">
        <f>W7</f>
        <v>416.66666666666669</v>
      </c>
      <c r="X9" s="166">
        <f>X7</f>
        <v>416.66666666666669</v>
      </c>
      <c r="Y9" s="166">
        <f>Y7</f>
        <v>416.66666666666669</v>
      </c>
      <c r="Z9" s="166">
        <f>Z7</f>
        <v>416.66666666666669</v>
      </c>
      <c r="AA9" s="166">
        <f>AA7</f>
        <v>416.66666666666669</v>
      </c>
      <c r="AB9" s="166">
        <f>AB7</f>
        <v>416.66666666666669</v>
      </c>
      <c r="AC9" s="166">
        <f>AC7</f>
        <v>416.66666666666669</v>
      </c>
      <c r="AD9" s="181">
        <f>AD7</f>
        <v>5000</v>
      </c>
    </row>
    <row r="10" spans="1:30" s="127" customFormat="1">
      <c r="A10" s="160" t="s">
        <v>196</v>
      </c>
      <c r="B10" s="131"/>
      <c r="C10" s="131"/>
      <c r="D10" s="129"/>
      <c r="E10" s="165">
        <f>B7</f>
        <v>65000</v>
      </c>
      <c r="F10" s="166">
        <v>0</v>
      </c>
      <c r="G10" s="166">
        <v>0</v>
      </c>
      <c r="H10" s="167">
        <v>0</v>
      </c>
      <c r="I10" s="167">
        <v>0</v>
      </c>
      <c r="J10" s="167">
        <v>0</v>
      </c>
      <c r="K10" s="167">
        <v>0</v>
      </c>
      <c r="L10" s="167">
        <v>0</v>
      </c>
      <c r="M10" s="167">
        <v>0</v>
      </c>
      <c r="N10" s="167">
        <v>0</v>
      </c>
      <c r="O10" s="167">
        <v>0</v>
      </c>
      <c r="P10" s="167">
        <v>0</v>
      </c>
      <c r="Q10" s="173" cm="1">
        <f t="array" ref="Q10:AB10">E10:P10</f>
        <v>65000</v>
      </c>
      <c r="R10" s="175">
        <v>0</v>
      </c>
      <c r="S10" s="175">
        <v>0</v>
      </c>
      <c r="T10" s="175">
        <v>0</v>
      </c>
      <c r="U10" s="175">
        <v>0</v>
      </c>
      <c r="V10" s="175">
        <v>0</v>
      </c>
      <c r="W10" s="175">
        <v>0</v>
      </c>
      <c r="X10" s="175">
        <v>0</v>
      </c>
      <c r="Y10" s="175">
        <v>0</v>
      </c>
      <c r="Z10" s="175">
        <v>0</v>
      </c>
      <c r="AA10" s="175">
        <v>0</v>
      </c>
      <c r="AB10" s="175">
        <v>0</v>
      </c>
      <c r="AC10" s="175">
        <v>0</v>
      </c>
      <c r="AD10" s="186">
        <v>0</v>
      </c>
    </row>
    <row r="11" spans="1:30" s="65" customFormat="1" ht="28.5" customHeight="1">
      <c r="A11" s="170" t="s">
        <v>197</v>
      </c>
      <c r="Q11" s="182"/>
      <c r="AD11" s="182"/>
    </row>
    <row r="12" spans="1:30">
      <c r="A12" s="161"/>
      <c r="E12" s="148">
        <v>0</v>
      </c>
      <c r="F12" s="148">
        <v>0</v>
      </c>
      <c r="G12" s="148">
        <v>0</v>
      </c>
      <c r="H12" s="148">
        <v>0</v>
      </c>
      <c r="I12" s="148">
        <v>0</v>
      </c>
      <c r="J12" s="148">
        <v>0</v>
      </c>
      <c r="K12" s="148">
        <v>0</v>
      </c>
      <c r="L12" s="148">
        <v>0</v>
      </c>
      <c r="M12" s="148">
        <v>0</v>
      </c>
      <c r="N12" s="148">
        <v>0</v>
      </c>
      <c r="O12" s="148">
        <v>0</v>
      </c>
      <c r="P12" s="148">
        <v>0</v>
      </c>
      <c r="Q12" s="171">
        <v>0</v>
      </c>
      <c r="R12" s="148">
        <v>0</v>
      </c>
      <c r="S12" s="148">
        <v>0</v>
      </c>
      <c r="T12" s="148">
        <v>0</v>
      </c>
      <c r="U12" s="148">
        <v>0</v>
      </c>
      <c r="V12" s="148">
        <v>0</v>
      </c>
      <c r="W12" s="148">
        <v>0</v>
      </c>
      <c r="X12" s="148">
        <v>0</v>
      </c>
      <c r="Y12" s="148">
        <v>0</v>
      </c>
      <c r="Z12" s="148">
        <v>0</v>
      </c>
      <c r="AA12" s="148">
        <v>0</v>
      </c>
      <c r="AB12" s="148">
        <v>0</v>
      </c>
      <c r="AC12" s="148">
        <v>0</v>
      </c>
      <c r="AD12" s="171">
        <v>0</v>
      </c>
    </row>
    <row r="13" spans="1:30">
      <c r="A13" s="161" t="s">
        <v>198</v>
      </c>
      <c r="B13" s="155">
        <f>Annahmen!E65</f>
        <v>39000</v>
      </c>
      <c r="C13" s="156">
        <f>Annahmen!D65</f>
        <v>45658</v>
      </c>
      <c r="D13" s="125">
        <f>Annahmen!B66</f>
        <v>3</v>
      </c>
      <c r="E13" s="157">
        <f>$Q$13/12</f>
        <v>1083.3333333333333</v>
      </c>
      <c r="F13" s="154">
        <f>$Q$13/12</f>
        <v>1083.3333333333333</v>
      </c>
      <c r="G13" s="154">
        <f>$Q$13/12</f>
        <v>1083.3333333333333</v>
      </c>
      <c r="H13" s="154">
        <f>$Q$13/12</f>
        <v>1083.3333333333333</v>
      </c>
      <c r="I13" s="154">
        <f>$Q$13/12</f>
        <v>1083.3333333333333</v>
      </c>
      <c r="J13" s="154">
        <f>$Q$13/12</f>
        <v>1083.3333333333333</v>
      </c>
      <c r="K13" s="154">
        <f>$Q$13/12</f>
        <v>1083.3333333333333</v>
      </c>
      <c r="L13" s="154">
        <f>$Q$13/12</f>
        <v>1083.3333333333333</v>
      </c>
      <c r="M13" s="154">
        <f>$Q$13/12</f>
        <v>1083.3333333333333</v>
      </c>
      <c r="N13" s="154">
        <f>$Q$13/12</f>
        <v>1083.3333333333333</v>
      </c>
      <c r="O13" s="154">
        <f>$Q$13/12</f>
        <v>1083.3333333333333</v>
      </c>
      <c r="P13" s="154">
        <f>$Q$13/12</f>
        <v>1083.3333333333333</v>
      </c>
      <c r="Q13" s="171">
        <f>$B$13/$D$13</f>
        <v>13000</v>
      </c>
      <c r="R13" s="154">
        <f>$AD$13/12</f>
        <v>1083.3333333333333</v>
      </c>
      <c r="S13" s="154">
        <f>$AD$13/12</f>
        <v>1083.3333333333333</v>
      </c>
      <c r="T13" s="154">
        <f>$AD$13/12</f>
        <v>1083.3333333333333</v>
      </c>
      <c r="U13" s="154">
        <f>$AD$13/12</f>
        <v>1083.3333333333333</v>
      </c>
      <c r="V13" s="154">
        <f>$AD$13/12</f>
        <v>1083.3333333333333</v>
      </c>
      <c r="W13" s="154">
        <f>$AD$13/12</f>
        <v>1083.3333333333333</v>
      </c>
      <c r="X13" s="154">
        <f>$AD$13/12</f>
        <v>1083.3333333333333</v>
      </c>
      <c r="Y13" s="154">
        <f>$AD$13/12</f>
        <v>1083.3333333333333</v>
      </c>
      <c r="Z13" s="154">
        <f>$AD$13/12</f>
        <v>1083.3333333333333</v>
      </c>
      <c r="AA13" s="154">
        <f>$AD$13/12</f>
        <v>1083.3333333333333</v>
      </c>
      <c r="AB13" s="154">
        <f>$AD$13/12</f>
        <v>1083.3333333333333</v>
      </c>
      <c r="AC13" s="154">
        <f>$AD$13/12</f>
        <v>1083.3333333333333</v>
      </c>
      <c r="AD13" s="171">
        <f>$B$13/$D$13</f>
        <v>13000</v>
      </c>
    </row>
    <row r="14" spans="1:30">
      <c r="A14" s="161" t="s">
        <v>199</v>
      </c>
      <c r="B14" s="155">
        <f>Annahmen!F71</f>
        <v>30000</v>
      </c>
      <c r="C14" s="156">
        <f>Annahmen!D71</f>
        <v>46023</v>
      </c>
      <c r="D14" s="125">
        <f>Annahmen!B72</f>
        <v>5</v>
      </c>
      <c r="E14" s="154">
        <v>0</v>
      </c>
      <c r="F14" s="154">
        <v>0</v>
      </c>
      <c r="G14" s="154">
        <v>0</v>
      </c>
      <c r="H14" s="154">
        <v>0</v>
      </c>
      <c r="I14" s="154">
        <v>0</v>
      </c>
      <c r="J14" s="154">
        <v>0</v>
      </c>
      <c r="K14" s="154">
        <v>0</v>
      </c>
      <c r="L14" s="154">
        <v>0</v>
      </c>
      <c r="M14" s="154">
        <v>0</v>
      </c>
      <c r="N14" s="154">
        <v>0</v>
      </c>
      <c r="O14" s="154">
        <v>0</v>
      </c>
      <c r="P14" s="154">
        <v>0</v>
      </c>
      <c r="Q14" s="171">
        <v>0</v>
      </c>
      <c r="R14" s="154">
        <f>$AD$14/12</f>
        <v>500</v>
      </c>
      <c r="S14" s="154">
        <f>$AD$14/12</f>
        <v>500</v>
      </c>
      <c r="T14" s="154">
        <f>$AD$14/12</f>
        <v>500</v>
      </c>
      <c r="U14" s="154">
        <f>$AD$14/12</f>
        <v>500</v>
      </c>
      <c r="V14" s="154">
        <f>$AD$14/12</f>
        <v>500</v>
      </c>
      <c r="W14" s="154">
        <f>$AD$14/12</f>
        <v>500</v>
      </c>
      <c r="X14" s="154">
        <f>$AD$14/12</f>
        <v>500</v>
      </c>
      <c r="Y14" s="154">
        <f>$AD$14/12</f>
        <v>500</v>
      </c>
      <c r="Z14" s="154">
        <f>$AD$14/12</f>
        <v>500</v>
      </c>
      <c r="AA14" s="154">
        <f>$AD$14/12</f>
        <v>500</v>
      </c>
      <c r="AB14" s="154">
        <f>$AD$14/12</f>
        <v>500</v>
      </c>
      <c r="AC14" s="154">
        <f>$AD$14/12</f>
        <v>500</v>
      </c>
      <c r="AD14" s="171">
        <f>B14/D14</f>
        <v>6000</v>
      </c>
    </row>
    <row r="15" spans="1:30" s="41" customFormat="1">
      <c r="A15" s="158"/>
      <c r="E15" s="169">
        <v>0</v>
      </c>
      <c r="F15" s="169">
        <v>0</v>
      </c>
      <c r="G15" s="169">
        <v>0</v>
      </c>
      <c r="H15" s="169">
        <v>0</v>
      </c>
      <c r="I15" s="169">
        <v>0</v>
      </c>
      <c r="J15" s="169">
        <v>0</v>
      </c>
      <c r="K15" s="169">
        <v>0</v>
      </c>
      <c r="L15" s="169">
        <v>0</v>
      </c>
      <c r="M15" s="169">
        <v>0</v>
      </c>
      <c r="N15" s="169">
        <v>0</v>
      </c>
      <c r="O15" s="169">
        <v>0</v>
      </c>
      <c r="P15" s="169">
        <v>0</v>
      </c>
      <c r="Q15" s="172">
        <v>0</v>
      </c>
      <c r="R15" s="169">
        <v>0</v>
      </c>
      <c r="S15" s="169">
        <v>0</v>
      </c>
      <c r="T15" s="169">
        <v>0</v>
      </c>
      <c r="U15" s="169">
        <v>0</v>
      </c>
      <c r="V15" s="169">
        <v>0</v>
      </c>
      <c r="W15" s="169">
        <v>0</v>
      </c>
      <c r="X15" s="169">
        <v>0</v>
      </c>
      <c r="Y15" s="169">
        <v>0</v>
      </c>
      <c r="Z15" s="169">
        <v>0</v>
      </c>
      <c r="AA15" s="169">
        <v>0</v>
      </c>
      <c r="AB15" s="169">
        <v>0</v>
      </c>
      <c r="AC15" s="169">
        <v>0</v>
      </c>
      <c r="AD15" s="172">
        <v>0</v>
      </c>
    </row>
    <row r="16" spans="1:30" s="127" customFormat="1">
      <c r="A16" s="168" t="s">
        <v>200</v>
      </c>
      <c r="E16" s="152">
        <f>SUM(E13:E14)</f>
        <v>1083.3333333333333</v>
      </c>
      <c r="F16" s="152">
        <f>SUM(F13:F14)</f>
        <v>1083.3333333333333</v>
      </c>
      <c r="G16" s="152">
        <f>SUM(G13:G14)</f>
        <v>1083.3333333333333</v>
      </c>
      <c r="H16" s="152">
        <f>SUM(H13:H14)</f>
        <v>1083.3333333333333</v>
      </c>
      <c r="I16" s="152">
        <f>SUM(I13:I14)</f>
        <v>1083.3333333333333</v>
      </c>
      <c r="J16" s="152">
        <f>SUM(J13:J14)</f>
        <v>1083.3333333333333</v>
      </c>
      <c r="K16" s="152">
        <f>SUM(K13:K14)</f>
        <v>1083.3333333333333</v>
      </c>
      <c r="L16" s="152">
        <f>SUM(L13:L14)</f>
        <v>1083.3333333333333</v>
      </c>
      <c r="M16" s="152">
        <f>SUM(M13:M14)</f>
        <v>1083.3333333333333</v>
      </c>
      <c r="N16" s="152">
        <f>SUM(N13:N14)</f>
        <v>1083.3333333333333</v>
      </c>
      <c r="O16" s="152">
        <f>SUM(O13:O14)</f>
        <v>1083.3333333333333</v>
      </c>
      <c r="P16" s="152">
        <f>SUM(P13:P14)</f>
        <v>1083.3333333333333</v>
      </c>
      <c r="Q16" s="173">
        <f>SUM(Q13:Q14)</f>
        <v>13000</v>
      </c>
      <c r="R16" s="152">
        <f>SUM(R13:R14)</f>
        <v>1583.3333333333333</v>
      </c>
      <c r="S16" s="152">
        <f>SUM(S13:S14)</f>
        <v>1583.3333333333333</v>
      </c>
      <c r="T16" s="152">
        <f>SUM(T13:T14)</f>
        <v>1583.3333333333333</v>
      </c>
      <c r="U16" s="152">
        <f>SUM(U13:U14)</f>
        <v>1583.3333333333333</v>
      </c>
      <c r="V16" s="152">
        <f>SUM(V13:V14)</f>
        <v>1583.3333333333333</v>
      </c>
      <c r="W16" s="152">
        <f>SUM(W13:W14)</f>
        <v>1583.3333333333333</v>
      </c>
      <c r="X16" s="152">
        <f>SUM(X13:X14)</f>
        <v>1583.3333333333333</v>
      </c>
      <c r="Y16" s="152">
        <f>SUM(Y13:Y14)</f>
        <v>1583.3333333333333</v>
      </c>
      <c r="Z16" s="152">
        <f>SUM(Z13:Z14)</f>
        <v>1583.3333333333333</v>
      </c>
      <c r="AA16" s="152">
        <f>SUM(AA13:AA14)</f>
        <v>1583.3333333333333</v>
      </c>
      <c r="AB16" s="152">
        <f>SUM(AB13:AB14)</f>
        <v>1583.3333333333333</v>
      </c>
      <c r="AC16" s="152">
        <f>SUM(AC13:AC14)</f>
        <v>1583.3333333333333</v>
      </c>
      <c r="AD16" s="173">
        <f>SUM(AD13:AD14)</f>
        <v>19000</v>
      </c>
    </row>
    <row r="17" spans="1:30" s="127" customFormat="1">
      <c r="A17" s="168" t="s">
        <v>201</v>
      </c>
      <c r="E17" s="152">
        <f>B13</f>
        <v>39000</v>
      </c>
      <c r="F17" s="153">
        <v>0</v>
      </c>
      <c r="G17" s="153">
        <v>0</v>
      </c>
      <c r="H17" s="153">
        <v>0</v>
      </c>
      <c r="I17" s="153">
        <v>0</v>
      </c>
      <c r="J17" s="153">
        <v>0</v>
      </c>
      <c r="K17" s="153">
        <v>0</v>
      </c>
      <c r="L17" s="153">
        <v>0</v>
      </c>
      <c r="M17" s="153">
        <v>0</v>
      </c>
      <c r="N17" s="153">
        <v>0</v>
      </c>
      <c r="O17" s="153">
        <v>0</v>
      </c>
      <c r="P17" s="153">
        <v>0</v>
      </c>
      <c r="Q17" s="173">
        <f>SUM(E17:P17)</f>
        <v>39000</v>
      </c>
      <c r="R17" s="127">
        <f>B14</f>
        <v>30000</v>
      </c>
      <c r="S17" s="150">
        <v>0</v>
      </c>
      <c r="T17" s="150">
        <v>0</v>
      </c>
      <c r="U17" s="150">
        <v>0</v>
      </c>
      <c r="V17" s="150">
        <v>0</v>
      </c>
      <c r="W17" s="150">
        <v>0</v>
      </c>
      <c r="X17" s="150">
        <v>0</v>
      </c>
      <c r="Y17" s="150">
        <v>0</v>
      </c>
      <c r="Z17" s="150">
        <v>0</v>
      </c>
      <c r="AA17" s="150">
        <v>0</v>
      </c>
      <c r="AB17" s="150">
        <v>0</v>
      </c>
      <c r="AC17" s="150">
        <v>0</v>
      </c>
      <c r="AD17" s="173">
        <f>SUM(R17:AC17)</f>
        <v>30000</v>
      </c>
    </row>
    <row r="18" spans="1:30">
      <c r="A18" s="161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71"/>
      <c r="AD18" s="171"/>
    </row>
    <row r="19" spans="1:30" s="127" customFormat="1">
      <c r="A19" s="168" t="s">
        <v>202</v>
      </c>
      <c r="E19" s="152">
        <f>E9+E16</f>
        <v>1500</v>
      </c>
      <c r="F19" s="152">
        <f>F9+F16</f>
        <v>1500</v>
      </c>
      <c r="G19" s="152">
        <f>G9+G16</f>
        <v>1500</v>
      </c>
      <c r="H19" s="152">
        <f>H9+H16</f>
        <v>1500</v>
      </c>
      <c r="I19" s="152">
        <f>I9+I16</f>
        <v>1500</v>
      </c>
      <c r="J19" s="152">
        <f>J9+J16</f>
        <v>1500</v>
      </c>
      <c r="K19" s="152">
        <f>K9+K16</f>
        <v>1500</v>
      </c>
      <c r="L19" s="152">
        <f>L9+L16</f>
        <v>1500</v>
      </c>
      <c r="M19" s="152">
        <f>M9+M16</f>
        <v>1500</v>
      </c>
      <c r="N19" s="152">
        <f>N9+N16</f>
        <v>1500</v>
      </c>
      <c r="O19" s="152">
        <f>O9+O16</f>
        <v>1500</v>
      </c>
      <c r="P19" s="152">
        <f>P9+P16</f>
        <v>1500</v>
      </c>
      <c r="Q19" s="173">
        <f>Q9+Q16</f>
        <v>18000</v>
      </c>
      <c r="R19" s="152">
        <f>R9+R16</f>
        <v>2000</v>
      </c>
      <c r="S19" s="152">
        <f>S9+S16</f>
        <v>2000</v>
      </c>
      <c r="T19" s="152">
        <f>T9+T16</f>
        <v>2000</v>
      </c>
      <c r="U19" s="152">
        <f>U9+U16</f>
        <v>2000</v>
      </c>
      <c r="V19" s="152">
        <f>V9+V16</f>
        <v>2000</v>
      </c>
      <c r="W19" s="152">
        <f>W9+W16</f>
        <v>2000</v>
      </c>
      <c r="X19" s="152">
        <f>X9+X16</f>
        <v>2000</v>
      </c>
      <c r="Y19" s="152">
        <f>Y9+Y16</f>
        <v>2000</v>
      </c>
      <c r="Z19" s="152">
        <f>Z9+Z16</f>
        <v>2000</v>
      </c>
      <c r="AA19" s="152">
        <f>AA9+AA16</f>
        <v>2000</v>
      </c>
      <c r="AB19" s="152">
        <f>AB9+AB16</f>
        <v>2000</v>
      </c>
      <c r="AC19" s="152">
        <f>AC9+AC16</f>
        <v>2000</v>
      </c>
      <c r="AD19" s="173">
        <f>AD9+AD16</f>
        <v>24000</v>
      </c>
    </row>
    <row r="20" spans="1:30" s="127" customFormat="1">
      <c r="A20" s="168" t="s">
        <v>203</v>
      </c>
      <c r="E20" s="152">
        <f>SUM(E10+E17)</f>
        <v>104000</v>
      </c>
      <c r="F20" s="152">
        <f>SUM(F10+F17)</f>
        <v>0</v>
      </c>
      <c r="G20" s="152">
        <f>SUM(G10+G17)</f>
        <v>0</v>
      </c>
      <c r="H20" s="152">
        <f>SUM(H10+H17)</f>
        <v>0</v>
      </c>
      <c r="I20" s="152">
        <f>SUM(I10+I17)</f>
        <v>0</v>
      </c>
      <c r="J20" s="152">
        <f>SUM(J10+J17)</f>
        <v>0</v>
      </c>
      <c r="K20" s="152">
        <f>SUM(K10+K17)</f>
        <v>0</v>
      </c>
      <c r="L20" s="152">
        <f>SUM(L10+L17)</f>
        <v>0</v>
      </c>
      <c r="M20" s="152">
        <f>SUM(M10+M17)</f>
        <v>0</v>
      </c>
      <c r="N20" s="152">
        <f>SUM(N10+N17)</f>
        <v>0</v>
      </c>
      <c r="O20" s="152">
        <f>SUM(O10+O17)</f>
        <v>0</v>
      </c>
      <c r="P20" s="152">
        <f>SUM(P10+P17)</f>
        <v>0</v>
      </c>
      <c r="Q20" s="173">
        <f>SUM(Q10+Q17)</f>
        <v>104000</v>
      </c>
      <c r="R20" s="152">
        <f>SUM(R10+R17)</f>
        <v>30000</v>
      </c>
      <c r="S20" s="151">
        <f>SUM(S10+S17)</f>
        <v>0</v>
      </c>
      <c r="T20" s="151">
        <f>SUM(T10+T17)</f>
        <v>0</v>
      </c>
      <c r="U20" s="151">
        <f>SUM(U10+U17)</f>
        <v>0</v>
      </c>
      <c r="V20" s="151">
        <f>SUM(V10+V17)</f>
        <v>0</v>
      </c>
      <c r="W20" s="151">
        <f>SUM(W10+W17)</f>
        <v>0</v>
      </c>
      <c r="X20" s="151">
        <f>SUM(X10+X17)</f>
        <v>0</v>
      </c>
      <c r="Y20" s="151">
        <f>SUM(Y10+Y17)</f>
        <v>0</v>
      </c>
      <c r="Z20" s="151">
        <f>SUM(Z10+Z17)</f>
        <v>0</v>
      </c>
      <c r="AA20" s="151">
        <f>SUM(AA10+AA17)</f>
        <v>0</v>
      </c>
      <c r="AB20" s="151">
        <f>SUM(AB10+AB17)</f>
        <v>0</v>
      </c>
      <c r="AC20" s="151">
        <f>SUM(AC10+AC17)</f>
        <v>0</v>
      </c>
      <c r="AD20" s="173">
        <f>SUM(AD10+AD17)</f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 Westphal</cp:lastModifiedBy>
  <cp:revision/>
  <dcterms:created xsi:type="dcterms:W3CDTF">2025-12-18T08:44:58Z</dcterms:created>
  <dcterms:modified xsi:type="dcterms:W3CDTF">2026-01-13T12:50:53Z</dcterms:modified>
  <cp:category/>
  <cp:contentStatus/>
</cp:coreProperties>
</file>