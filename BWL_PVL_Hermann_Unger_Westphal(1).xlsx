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1315" documentId="11_7C5055BF84DCCED36523F29B8631F45B3AF06663" xr6:coauthVersionLast="47" xr6:coauthVersionMax="47" xr10:uidLastSave="{552E53D2-B828-4784-975C-7C35A325EFBD}"/>
  <bookViews>
    <workbookView xWindow="240" yWindow="105" windowWidth="14805" windowHeight="8010" firstSheet="1" activeTab="3" xr2:uid="{00000000-000D-0000-FFFF-FFFF00000000}"/>
  </bookViews>
  <sheets>
    <sheet name="Annahmen" sheetId="1" r:id="rId1"/>
    <sheet name="GuV und Liquidität" sheetId="2" r:id="rId2"/>
    <sheet name="Bilanz" sheetId="4" r:id="rId3"/>
    <sheet name="Umsatz" sheetId="3" r:id="rId4"/>
    <sheet name="Personal" sheetId="5" r:id="rId5"/>
    <sheet name="Aufwand" sheetId="6" r:id="rId6"/>
    <sheet name="Kredit" sheetId="7" r:id="rId7"/>
    <sheet name="Investitionen" sheetId="8" r:id="rId8"/>
  </sheets>
  <definedNames>
    <definedName name="Hallo">Annahmen!$K$10:$K$10</definedName>
    <definedName name="Startjahr">Annahmen!$B$5:$B$5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D4" i="6"/>
  <c r="E4" i="6"/>
  <c r="F4" i="6"/>
  <c r="G4" i="6"/>
  <c r="H4" i="6"/>
  <c r="I4" i="6"/>
  <c r="J4" i="6"/>
  <c r="K4" i="6"/>
  <c r="L4" i="6"/>
  <c r="M4" i="6"/>
  <c r="P11" i="3"/>
  <c r="P12" i="3"/>
  <c r="B4" i="6"/>
  <c r="L61" i="1"/>
  <c r="K61" i="1"/>
  <c r="I61" i="1"/>
  <c r="H61" i="1"/>
  <c r="J61" i="1"/>
  <c r="M61" i="1"/>
  <c r="N61" i="1"/>
  <c r="O61" i="1"/>
  <c r="P61" i="1"/>
  <c r="Q61" i="1"/>
  <c r="R61" i="1"/>
  <c r="S61" i="1"/>
  <c r="C5" i="6"/>
  <c r="D5" i="6"/>
  <c r="E5" i="6"/>
  <c r="F5" i="6"/>
  <c r="G5" i="6"/>
  <c r="H5" i="6"/>
  <c r="I5" i="6"/>
  <c r="J5" i="6"/>
  <c r="K5" i="6"/>
  <c r="L5" i="6"/>
  <c r="M5" i="6"/>
  <c r="B5" i="6"/>
  <c r="N6" i="6"/>
  <c r="N5" i="6"/>
  <c r="N4" i="6"/>
  <c r="E7" i="5"/>
  <c r="E8" i="5"/>
  <c r="E9" i="5"/>
  <c r="E10" i="5"/>
  <c r="E6" i="5"/>
  <c r="H10" i="5"/>
  <c r="I10" i="5"/>
  <c r="J10" i="5"/>
  <c r="K10" i="5"/>
  <c r="L10" i="5"/>
  <c r="M10" i="5"/>
  <c r="N10" i="5"/>
  <c r="O10" i="5"/>
  <c r="P10" i="5"/>
  <c r="Q10" i="5"/>
  <c r="R10" i="5"/>
  <c r="H9" i="5"/>
  <c r="I9" i="5"/>
  <c r="J9" i="5"/>
  <c r="K9" i="5"/>
  <c r="L9" i="5"/>
  <c r="M9" i="5"/>
  <c r="N9" i="5"/>
  <c r="O9" i="5"/>
  <c r="P9" i="5"/>
  <c r="Q9" i="5"/>
  <c r="R9" i="5"/>
  <c r="H8" i="5"/>
  <c r="I8" i="5"/>
  <c r="J8" i="5"/>
  <c r="K8" i="5"/>
  <c r="L8" i="5"/>
  <c r="M8" i="5"/>
  <c r="N8" i="5"/>
  <c r="O8" i="5"/>
  <c r="P8" i="5"/>
  <c r="Q8" i="5"/>
  <c r="R8" i="5"/>
  <c r="H7" i="5"/>
  <c r="I7" i="5"/>
  <c r="J7" i="5"/>
  <c r="K7" i="5"/>
  <c r="L7" i="5"/>
  <c r="M7" i="5"/>
  <c r="N7" i="5"/>
  <c r="O7" i="5"/>
  <c r="P7" i="5"/>
  <c r="Q7" i="5"/>
  <c r="R7" i="5"/>
  <c r="H6" i="5"/>
  <c r="I6" i="5"/>
  <c r="J6" i="5"/>
  <c r="K6" i="5"/>
  <c r="L6" i="5"/>
  <c r="M6" i="5"/>
  <c r="N6" i="5"/>
  <c r="O6" i="5"/>
  <c r="P6" i="5"/>
  <c r="Q6" i="5"/>
  <c r="R6" i="5"/>
  <c r="C20" i="5"/>
  <c r="E15" i="5"/>
  <c r="D15" i="5"/>
  <c r="H12" i="5"/>
  <c r="H19" i="5" s="1"/>
  <c r="I12" i="5"/>
  <c r="I19" i="5" s="1"/>
  <c r="J12" i="5"/>
  <c r="J19" i="5" s="1"/>
  <c r="K12" i="5"/>
  <c r="K19" i="5" s="1"/>
  <c r="L12" i="5"/>
  <c r="L19" i="5" s="1"/>
  <c r="M12" i="5"/>
  <c r="M19" i="5" s="1"/>
  <c r="N12" i="5"/>
  <c r="N19" i="5" s="1"/>
  <c r="O12" i="5"/>
  <c r="O19" i="5" s="1"/>
  <c r="P12" i="5"/>
  <c r="P19" i="5" s="1"/>
  <c r="Q12" i="5"/>
  <c r="Q19" i="5" s="1"/>
  <c r="R12" i="5"/>
  <c r="R19" i="5" s="1"/>
  <c r="G6" i="5"/>
  <c r="G7" i="5"/>
  <c r="G8" i="5"/>
  <c r="G9" i="5"/>
  <c r="G10" i="5"/>
  <c r="AA6" i="3"/>
  <c r="D7" i="5"/>
  <c r="D8" i="5"/>
  <c r="D9" i="5"/>
  <c r="D10" i="5"/>
  <c r="D6" i="5"/>
  <c r="N6" i="3"/>
  <c r="C7" i="5"/>
  <c r="C8" i="5"/>
  <c r="C9" i="5"/>
  <c r="C10" i="5"/>
  <c r="C6" i="5"/>
  <c r="A10" i="5"/>
  <c r="A9" i="5"/>
  <c r="A8" i="5"/>
  <c r="A7" i="5"/>
  <c r="G2" i="5"/>
  <c r="F73" i="1"/>
  <c r="F66" i="1"/>
  <c r="F69" i="1"/>
  <c r="F74" i="1"/>
  <c r="F72" i="1"/>
  <c r="F70" i="1"/>
  <c r="E73" i="1"/>
  <c r="E74" i="1"/>
  <c r="E69" i="1"/>
  <c r="E66" i="1"/>
  <c r="K54" i="1"/>
  <c r="K50" i="1"/>
  <c r="K52" i="1"/>
  <c r="K53" i="1"/>
  <c r="J50" i="1"/>
  <c r="J52" i="1"/>
  <c r="J53" i="1"/>
  <c r="J54" i="1"/>
  <c r="K49" i="1"/>
  <c r="J49" i="1"/>
  <c r="H54" i="1"/>
  <c r="H49" i="1"/>
  <c r="G50" i="1"/>
  <c r="G49" i="1"/>
  <c r="F60" i="1"/>
  <c r="F59" i="1"/>
  <c r="E59" i="1"/>
  <c r="H50" i="1"/>
  <c r="H51" i="1"/>
  <c r="K51" i="1" s="1"/>
  <c r="K55" i="1" s="1"/>
  <c r="H52" i="1"/>
  <c r="H53" i="1"/>
  <c r="D82" i="1"/>
  <c r="D87" i="1"/>
  <c r="G51" i="1"/>
  <c r="J51" i="1" s="1"/>
  <c r="G52" i="1"/>
  <c r="G53" i="1"/>
  <c r="C16" i="1"/>
  <c r="C20" i="1"/>
  <c r="K33" i="1"/>
  <c r="E33" i="1"/>
  <c r="F43" i="1"/>
  <c r="E43" i="1"/>
  <c r="F41" i="1"/>
  <c r="E41" i="1"/>
  <c r="D54" i="1"/>
  <c r="E50" i="1"/>
  <c r="E51" i="1"/>
  <c r="E52" i="1"/>
  <c r="E53" i="1"/>
  <c r="E49" i="1"/>
  <c r="I33" i="1"/>
  <c r="L33" i="1" s="1"/>
  <c r="I31" i="1"/>
  <c r="L31" i="1" s="1"/>
  <c r="I32" i="1"/>
  <c r="L32" i="1" s="1"/>
  <c r="I30" i="1"/>
  <c r="C22" i="1"/>
  <c r="C21" i="1"/>
  <c r="C23" i="1"/>
  <c r="C19" i="1"/>
  <c r="C6" i="3" l="1"/>
  <c r="D6" i="3"/>
  <c r="E6" i="3"/>
  <c r="F6" i="3"/>
  <c r="G6" i="3"/>
  <c r="H6" i="3"/>
  <c r="I6" i="3"/>
  <c r="J6" i="3"/>
  <c r="K6" i="3"/>
  <c r="L6" i="3"/>
  <c r="M6" i="3"/>
  <c r="B6" i="3"/>
  <c r="P6" i="3"/>
  <c r="Q6" i="3"/>
  <c r="R6" i="3"/>
  <c r="S6" i="3"/>
  <c r="T6" i="3"/>
  <c r="U6" i="3"/>
  <c r="V6" i="3"/>
  <c r="W6" i="3"/>
  <c r="X6" i="3"/>
  <c r="Y6" i="3"/>
  <c r="Z6" i="3"/>
  <c r="O6" i="3"/>
  <c r="D10" i="3"/>
  <c r="E10" i="3"/>
  <c r="F10" i="3"/>
  <c r="G10" i="3"/>
  <c r="H10" i="3"/>
  <c r="I10" i="3"/>
  <c r="J10" i="3"/>
  <c r="K10" i="3"/>
  <c r="L10" i="3"/>
  <c r="M10" i="3"/>
  <c r="N10" i="3"/>
  <c r="O10" i="3"/>
  <c r="G12" i="5"/>
  <c r="G19" i="5" s="1"/>
  <c r="G20" i="5"/>
  <c r="G21" i="5" s="1"/>
  <c r="R20" i="5"/>
  <c r="R21" i="5"/>
  <c r="Q20" i="5"/>
  <c r="Q21" i="5"/>
  <c r="P20" i="5"/>
  <c r="P21" i="5"/>
  <c r="O20" i="5"/>
  <c r="O21" i="5"/>
  <c r="N20" i="5"/>
  <c r="N21" i="5"/>
  <c r="M20" i="5"/>
  <c r="M21" i="5"/>
  <c r="L20" i="5"/>
  <c r="L21" i="5"/>
  <c r="K20" i="5"/>
  <c r="K21" i="5"/>
  <c r="J20" i="5"/>
  <c r="J21" i="5"/>
  <c r="I20" i="5"/>
  <c r="I21" i="5"/>
  <c r="H20" i="5"/>
  <c r="H21" i="5"/>
  <c r="J55" i="1"/>
  <c r="L30" i="1"/>
  <c r="I34" i="1"/>
  <c r="P10" i="3" l="1"/>
  <c r="I35" i="1"/>
  <c r="I37" i="1" s="1"/>
  <c r="E42" i="1" s="1"/>
  <c r="L34" i="1"/>
  <c r="L35" i="1" s="1"/>
  <c r="L37" i="1" s="1"/>
  <c r="F42" i="1" s="1"/>
  <c r="F44" i="1" s="1"/>
  <c r="F46" i="1" s="1"/>
  <c r="E44" i="1"/>
  <c r="E46" i="1" s="1"/>
</calcChain>
</file>

<file path=xl/sharedStrings.xml><?xml version="1.0" encoding="utf-8"?>
<sst xmlns="http://schemas.openxmlformats.org/spreadsheetml/2006/main" count="226" uniqueCount="151">
  <si>
    <t>ANNAHMEN:</t>
  </si>
  <si>
    <t>Statisches Eingabefeld</t>
  </si>
  <si>
    <t>Finanz- und Liquiditätsplanung</t>
  </si>
  <si>
    <t>Variables Eingabefeld</t>
  </si>
  <si>
    <t>Verknüpfung mit grünes Feld</t>
  </si>
  <si>
    <t>Startjahr</t>
  </si>
  <si>
    <t>Ausgangsposition</t>
  </si>
  <si>
    <t>Veränderungen</t>
  </si>
  <si>
    <t>Folgejahr</t>
  </si>
  <si>
    <t>Variable:</t>
  </si>
  <si>
    <t>Investitionskredit</t>
  </si>
  <si>
    <t>Ratenkredit</t>
  </si>
  <si>
    <t>die unten</t>
  </si>
  <si>
    <t>Betriebsmittelkredit</t>
  </si>
  <si>
    <t>orange</t>
  </si>
  <si>
    <t>mtl. Gehaltserhöhung ab Folgejahr für Informatiker:innen</t>
  </si>
  <si>
    <t>hinterlegten</t>
  </si>
  <si>
    <t>Kapazitätsauslastung</t>
  </si>
  <si>
    <t>Felder</t>
  </si>
  <si>
    <t>Netto-Stundensatz beim Kunden</t>
  </si>
  <si>
    <t>nehmen</t>
  </si>
  <si>
    <t>Anzahl Krankheitstage pro Informatiker:in</t>
  </si>
  <si>
    <t>hier auf Bezug</t>
  </si>
  <si>
    <t>Weitere Investitionen</t>
  </si>
  <si>
    <t>Server im Folgejahr</t>
  </si>
  <si>
    <t>Kredit</t>
  </si>
  <si>
    <t>Zinsatz p.a.</t>
  </si>
  <si>
    <t>Laufzeit</t>
  </si>
  <si>
    <t>Rate monatlich</t>
  </si>
  <si>
    <t>zur Vereinfachung werden hier nur Bankkredite und keine Anultitätsdahrlen verwendet</t>
  </si>
  <si>
    <t>Steuersatz für KöSt./GewSt.</t>
  </si>
  <si>
    <t>Veränderung</t>
  </si>
  <si>
    <t>verechenbare</t>
  </si>
  <si>
    <t>Wer erbringt die mit dem Kunden verechenbare Leistung? ==&gt; gesucht sind die jährlich verechenbaren Stunden pro Vollzeit Informatiker:in</t>
  </si>
  <si>
    <t>Krankheitstage</t>
  </si>
  <si>
    <t>Stunden</t>
  </si>
  <si>
    <t>Ausgangspunkt</t>
  </si>
  <si>
    <t>Wochen</t>
  </si>
  <si>
    <t>Tage</t>
  </si>
  <si>
    <t>Feiertage</t>
  </si>
  <si>
    <t>Urlaub</t>
  </si>
  <si>
    <t>Krankheit etc.</t>
  </si>
  <si>
    <t>verfügbare Stunden / Informatiker</t>
  </si>
  <si>
    <t>nicht verreschenbare Stunden (E-Mails, Sitzungen, Telefonate, Recherche, Fehlerbehebung, etc.)</t>
  </si>
  <si>
    <t>Verreschenbare Stunden</t>
  </si>
  <si>
    <t>Kapazität</t>
  </si>
  <si>
    <t>Stunden p.a.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</si>
  <si>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</si>
  <si>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</si>
  <si>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</si>
  <si>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</si>
  <si>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</si>
  <si>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</si>
  <si>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</si>
  <si>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</si>
  <si>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</si>
  <si>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</si>
  <si>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</si>
  <si>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</si>
  <si>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Umsatz</t>
  </si>
  <si>
    <t>Stundensatz</t>
  </si>
  <si>
    <t>verrechnbare Stunden</t>
  </si>
  <si>
    <t>Auslastung</t>
  </si>
  <si>
    <t>geplante Auslastung</t>
  </si>
  <si>
    <t>Anzahl Informatiker:in</t>
  </si>
  <si>
    <t>Jahresumsatz</t>
  </si>
  <si>
    <t>Beginn</t>
  </si>
  <si>
    <t>SV</t>
  </si>
  <si>
    <t>Personalaufwand</t>
  </si>
  <si>
    <t>Geschäftsführung</t>
  </si>
  <si>
    <t>Monate</t>
  </si>
  <si>
    <t>Buchhaltung</t>
  </si>
  <si>
    <t>Assistenz</t>
  </si>
  <si>
    <t>Technik</t>
  </si>
  <si>
    <t>Informatiker</t>
  </si>
  <si>
    <t>Gehaltserhöhung</t>
  </si>
  <si>
    <t>Summe Personalaufwand</t>
  </si>
  <si>
    <t>mrz</t>
  </si>
  <si>
    <t>mai</t>
  </si>
  <si>
    <t>okt</t>
  </si>
  <si>
    <t>dez</t>
  </si>
  <si>
    <t>Betrieblicher Aufwand</t>
  </si>
  <si>
    <t>Miete incl. Nebenkosten</t>
  </si>
  <si>
    <t>so. Aufwand</t>
  </si>
  <si>
    <t>Investitionen</t>
  </si>
  <si>
    <t>Auszahlungen</t>
  </si>
  <si>
    <t>PC/Drucker</t>
  </si>
  <si>
    <t>Nutzungsdauer</t>
  </si>
  <si>
    <t>Abschreibungen</t>
  </si>
  <si>
    <t>Auszahlung</t>
  </si>
  <si>
    <t>Büroausstattung</t>
  </si>
  <si>
    <t>Anschreibungen</t>
  </si>
  <si>
    <t>Server</t>
  </si>
  <si>
    <t>Abschreibung</t>
  </si>
  <si>
    <t>Summe Auszahlungen</t>
  </si>
  <si>
    <t>Summe Abschreibungen</t>
  </si>
  <si>
    <t>Bilanz</t>
  </si>
  <si>
    <t>Anlagenvermögen</t>
  </si>
  <si>
    <t>Umlaufvermögen</t>
  </si>
  <si>
    <t>Forderungen</t>
  </si>
  <si>
    <t>Kasse</t>
  </si>
  <si>
    <t>Bilanzsumme</t>
  </si>
  <si>
    <t>Eigenkapital</t>
  </si>
  <si>
    <t>Stammkapital</t>
  </si>
  <si>
    <t>Gewinnvortrag</t>
  </si>
  <si>
    <t>Jahresabschluss</t>
  </si>
  <si>
    <t>k. Ausschüttung</t>
  </si>
  <si>
    <t>Fremdkapital</t>
  </si>
  <si>
    <t>Verbindlichkeiten L&amp;L</t>
  </si>
  <si>
    <t>Gesamt</t>
  </si>
  <si>
    <t>Jan</t>
  </si>
  <si>
    <t>Feb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</si>
  <si>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</si>
  <si>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</si>
  <si>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</si>
  <si>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</si>
  <si>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</si>
  <si>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</si>
  <si>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</si>
  <si>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</si>
  <si>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</si>
  <si>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</si>
  <si>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Umsatzverteilung</t>
  </si>
  <si>
    <t>Umsatzerlös Gesamt</t>
  </si>
  <si>
    <t>GESAMT</t>
  </si>
  <si>
    <t>Nettobeträge</t>
  </si>
  <si>
    <t>Mar</t>
  </si>
  <si>
    <t>May</t>
  </si>
  <si>
    <t>Oct</t>
  </si>
  <si>
    <t>Dec</t>
  </si>
  <si>
    <t>Verteilung so. Aufwand</t>
  </si>
  <si>
    <t>Miete</t>
  </si>
  <si>
    <t>(in Euro)</t>
  </si>
  <si>
    <t>Bruttogehalt beginn</t>
  </si>
  <si>
    <t>Bestand</t>
  </si>
  <si>
    <t>Geschäftsfürhrung</t>
  </si>
  <si>
    <t>Techniker</t>
  </si>
  <si>
    <t>Gesamt - Bestand</t>
  </si>
  <si>
    <t>Neu</t>
  </si>
  <si>
    <t>Gesamt - Neu</t>
  </si>
  <si>
    <t>Zusammenfassung</t>
  </si>
  <si>
    <t>Gesamt(ohne Sozialversicherung)</t>
  </si>
  <si>
    <t>Sozialversicherung</t>
  </si>
  <si>
    <t>Gesamt Personal</t>
  </si>
  <si>
    <t>Nettobeträge (in Euro)</t>
  </si>
  <si>
    <t>Planung</t>
  </si>
  <si>
    <t>Ausgaben</t>
  </si>
  <si>
    <t>Anuitätendahrlen 1</t>
  </si>
  <si>
    <t>Tilgung</t>
  </si>
  <si>
    <t>Zins</t>
  </si>
  <si>
    <t>Restbetrag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</si>
</sst>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\ [$€-407]_-;\-* #,##0.00\ [$€-407]_-;_-* &quot;-&quot;??\ [$€-407]_-;_-@_-"/>
    <numFmt numFmtId="165" formatCode="_-* #,##0\ [$€-407]_-;\-* #,##0\ [$€-407]_-;_-* &quot;-&quot;??\ [$€-407]_-;_-@_-"/>
    <numFmt numFmtId="166" formatCode="0.0000"/>
    <numFmt numFmtId="167" formatCode="0.000"/>
    <numFmt numFmtId="168" formatCode="0.0%"/>
    <numFmt numFmtId="169" formatCode="0.0000%"/>
    <numFmt numFmtId="170" formatCode="_-* #,##0\ [$€-407]_-;\-* #,##0\ [$€-407]_-;_-* &quot;-&quot;????\ [$€-407]_-;_-@_-"/>
    <numFmt numFmtId="171" formatCode="#,##0\ &quot;€&quot;"/>
    <numFmt numFmtId="176" formatCode="[$-F800]dddd\,\ mmmm\ dd\,\ yyyy"/>
    <numFmt numFmtId="177" formatCode="#,##0.00\ &quot;€&quot;"/>
    <numFmt numFmtId="180" formatCode="_-* #,##0_-;\-* #,##0_-;_-* &quot;-&quot;??_-;_-@_-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2" tint="-9.9978637043366805E-2"/>
      </left>
      <right/>
      <top/>
      <bottom style="thin">
        <color rgb="FF000000"/>
      </bottom>
      <diagonal/>
    </border>
    <border>
      <left/>
      <right style="thin">
        <color theme="2" tint="-9.9978637043366805E-2"/>
      </right>
      <top/>
      <bottom style="thin">
        <color rgb="FF000000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/>
      <right style="thick">
        <color theme="2" tint="-0.249977111117893"/>
      </right>
      <top/>
      <bottom/>
      <diagonal/>
    </border>
    <border>
      <left/>
      <right style="thick">
        <color theme="2" tint="-0.249977111117893"/>
      </right>
      <top/>
      <bottom style="thin">
        <color rgb="FF000000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ck">
        <color theme="2" tint="-0.249977111117893"/>
      </bottom>
      <diagonal/>
    </border>
    <border>
      <left/>
      <right/>
      <top style="thin">
        <color theme="2" tint="-9.9978637043366805E-2"/>
      </top>
      <bottom style="thick">
        <color theme="2" tint="-0.249977111117893"/>
      </bottom>
      <diagonal/>
    </border>
    <border>
      <left/>
      <right style="thick">
        <color theme="2" tint="-0.249977111117893"/>
      </right>
      <top style="thin">
        <color theme="2" tint="-9.9978637043366805E-2"/>
      </top>
      <bottom style="thick">
        <color theme="2" tint="-0.249977111117893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ck">
        <color theme="2" tint="-0.249977111117893"/>
      </bottom>
      <diagonal/>
    </border>
    <border>
      <left/>
      <right/>
      <top/>
      <bottom style="thick">
        <color theme="2" tint="-0.249977111117893"/>
      </bottom>
      <diagonal/>
    </border>
    <border>
      <left style="thin">
        <color theme="2" tint="-9.9978637043366805E-2"/>
      </left>
      <right/>
      <top/>
      <bottom style="thick">
        <color theme="2" tint="-0.249977111117893"/>
      </bottom>
      <diagonal/>
    </border>
    <border>
      <left/>
      <right style="thin">
        <color theme="2" tint="-9.9978637043366805E-2"/>
      </right>
      <top/>
      <bottom style="thick">
        <color theme="2" tint="-0.249977111117893"/>
      </bottom>
      <diagonal/>
    </border>
    <border>
      <left/>
      <right style="thick">
        <color theme="2" tint="-0.249977111117893"/>
      </right>
      <top/>
      <bottom style="thick">
        <color theme="2" tint="-0.249977111117893"/>
      </bottom>
      <diagonal/>
    </border>
    <border>
      <left/>
      <right/>
      <top/>
      <bottom style="double">
        <color theme="2" tint="-0.249977111117893"/>
      </bottom>
      <diagonal/>
    </border>
    <border>
      <left/>
      <right/>
      <top style="double">
        <color theme="2" tint="-0.249977111117893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theme="2" tint="-0.249977111117893"/>
      </right>
      <top/>
      <bottom style="double">
        <color theme="2" tint="-0.249977111117893"/>
      </bottom>
      <diagonal/>
    </border>
    <border>
      <left/>
      <right style="thick">
        <color theme="2" tint="-0.249977111117893"/>
      </right>
      <top style="double">
        <color theme="2" tint="-0.249977111117893"/>
      </top>
      <bottom style="thin">
        <color theme="1"/>
      </bottom>
      <diagonal/>
    </border>
    <border>
      <left/>
      <right style="thick">
        <color theme="2" tint="-0.249977111117893"/>
      </right>
      <top/>
      <bottom style="thin">
        <color theme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5" borderId="0" xfId="0" applyFont="1" applyFill="1"/>
    <xf numFmtId="165" fontId="0" fillId="0" borderId="0" xfId="0" applyNumberFormat="1"/>
    <xf numFmtId="9" fontId="0" fillId="0" borderId="0" xfId="0" applyNumberFormat="1"/>
    <xf numFmtId="165" fontId="0" fillId="3" borderId="0" xfId="0" applyNumberFormat="1" applyFill="1"/>
    <xf numFmtId="0" fontId="0" fillId="5" borderId="0" xfId="0" applyFill="1"/>
    <xf numFmtId="0" fontId="0" fillId="3" borderId="0" xfId="0" applyNumberFormat="1" applyFill="1"/>
    <xf numFmtId="9" fontId="0" fillId="3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9" fontId="0" fillId="2" borderId="0" xfId="0" applyNumberFormat="1" applyFill="1"/>
    <xf numFmtId="0" fontId="2" fillId="5" borderId="0" xfId="0" applyFont="1" applyFill="1"/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0" fillId="6" borderId="0" xfId="0" applyFill="1"/>
    <xf numFmtId="0" fontId="0" fillId="7" borderId="0" xfId="0" applyFill="1"/>
    <xf numFmtId="9" fontId="0" fillId="6" borderId="0" xfId="0" applyNumberFormat="1" applyFill="1"/>
    <xf numFmtId="0" fontId="0" fillId="0" borderId="0" xfId="0" applyFill="1"/>
    <xf numFmtId="9" fontId="0" fillId="4" borderId="0" xfId="0" applyNumberFormat="1" applyFill="1"/>
    <xf numFmtId="169" fontId="0" fillId="6" borderId="0" xfId="0" applyNumberFormat="1" applyFill="1"/>
    <xf numFmtId="14" fontId="0" fillId="0" borderId="0" xfId="0" applyNumberFormat="1"/>
    <xf numFmtId="2" fontId="0" fillId="0" borderId="0" xfId="0" applyNumberFormat="1" applyFill="1"/>
    <xf numFmtId="1" fontId="0" fillId="0" borderId="0" xfId="0" applyNumberFormat="1"/>
    <xf numFmtId="166" fontId="1" fillId="0" borderId="0" xfId="0" applyNumberFormat="1" applyFont="1"/>
    <xf numFmtId="164" fontId="0" fillId="6" borderId="0" xfId="0" applyNumberFormat="1" applyFill="1"/>
    <xf numFmtId="165" fontId="0" fillId="6" borderId="0" xfId="0" applyNumberFormat="1" applyFill="1"/>
    <xf numFmtId="170" fontId="0" fillId="0" borderId="0" xfId="0" applyNumberFormat="1"/>
    <xf numFmtId="165" fontId="1" fillId="6" borderId="0" xfId="0" applyNumberFormat="1" applyFont="1" applyFill="1"/>
    <xf numFmtId="14" fontId="0" fillId="6" borderId="0" xfId="0" applyNumberFormat="1" applyFill="1"/>
    <xf numFmtId="0" fontId="2" fillId="7" borderId="1" xfId="0" applyFont="1" applyFill="1" applyBorder="1"/>
    <xf numFmtId="0" fontId="0" fillId="7" borderId="1" xfId="0" applyFill="1" applyBorder="1"/>
    <xf numFmtId="0" fontId="1" fillId="0" borderId="0" xfId="0" applyFont="1" applyBorder="1"/>
    <xf numFmtId="0" fontId="0" fillId="0" borderId="0" xfId="0" applyBorder="1"/>
    <xf numFmtId="0" fontId="0" fillId="0" borderId="2" xfId="0" applyBorder="1"/>
    <xf numFmtId="0" fontId="1" fillId="0" borderId="4" xfId="0" applyFont="1" applyBorder="1" applyAlignment="1">
      <alignment vertical="center"/>
    </xf>
    <xf numFmtId="0" fontId="0" fillId="0" borderId="5" xfId="0" applyBorder="1"/>
    <xf numFmtId="0" fontId="1" fillId="0" borderId="6" xfId="0" applyFont="1" applyBorder="1"/>
    <xf numFmtId="0" fontId="1" fillId="8" borderId="0" xfId="0" applyFont="1" applyFill="1"/>
    <xf numFmtId="0" fontId="1" fillId="0" borderId="7" xfId="0" applyFont="1" applyBorder="1"/>
    <xf numFmtId="0" fontId="0" fillId="0" borderId="7" xfId="0" applyBorder="1"/>
    <xf numFmtId="0" fontId="0" fillId="8" borderId="0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7" fontId="0" fillId="8" borderId="13" xfId="0" applyNumberFormat="1" applyFill="1" applyBorder="1"/>
    <xf numFmtId="0" fontId="0" fillId="0" borderId="14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1" fillId="0" borderId="20" xfId="0" applyNumberFormat="1" applyFont="1" applyBorder="1"/>
    <xf numFmtId="171" fontId="1" fillId="0" borderId="20" xfId="0" applyNumberFormat="1" applyFont="1" applyBorder="1"/>
    <xf numFmtId="168" fontId="0" fillId="0" borderId="0" xfId="0" applyNumberFormat="1"/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7" borderId="0" xfId="0" applyFont="1" applyFill="1" applyBorder="1" applyAlignment="1"/>
    <xf numFmtId="0" fontId="1" fillId="7" borderId="13" xfId="0" applyFont="1" applyFill="1" applyBorder="1" applyAlignment="1"/>
    <xf numFmtId="0" fontId="1" fillId="0" borderId="18" xfId="0" applyFont="1" applyBorder="1" applyAlignment="1"/>
    <xf numFmtId="0" fontId="1" fillId="7" borderId="0" xfId="0" applyFont="1" applyFill="1"/>
    <xf numFmtId="0" fontId="0" fillId="0" borderId="21" xfId="0" applyBorder="1"/>
    <xf numFmtId="0" fontId="1" fillId="0" borderId="17" xfId="0" applyFont="1" applyBorder="1"/>
    <xf numFmtId="0" fontId="0" fillId="0" borderId="22" xfId="0" applyBorder="1"/>
    <xf numFmtId="0" fontId="0" fillId="0" borderId="23" xfId="0" applyBorder="1"/>
    <xf numFmtId="165" fontId="0" fillId="0" borderId="6" xfId="0" applyNumberFormat="1" applyBorder="1"/>
    <xf numFmtId="165" fontId="0" fillId="0" borderId="15" xfId="0" applyNumberFormat="1" applyBorder="1"/>
    <xf numFmtId="165" fontId="0" fillId="0" borderId="13" xfId="0" applyNumberFormat="1" applyBorder="1"/>
    <xf numFmtId="165" fontId="0" fillId="0" borderId="17" xfId="0" applyNumberFormat="1" applyBorder="1"/>
    <xf numFmtId="165" fontId="1" fillId="0" borderId="17" xfId="0" applyNumberFormat="1" applyFont="1" applyBorder="1"/>
    <xf numFmtId="0" fontId="0" fillId="0" borderId="25" xfId="0" applyBorder="1"/>
    <xf numFmtId="0" fontId="0" fillId="0" borderId="26" xfId="0" applyBorder="1"/>
    <xf numFmtId="169" fontId="0" fillId="0" borderId="16" xfId="0" applyNumberFormat="1" applyBorder="1"/>
    <xf numFmtId="0" fontId="1" fillId="0" borderId="26" xfId="0" applyFont="1" applyBorder="1"/>
    <xf numFmtId="0" fontId="0" fillId="9" borderId="25" xfId="0" applyFill="1" applyBorder="1"/>
    <xf numFmtId="0" fontId="1" fillId="7" borderId="7" xfId="0" applyFont="1" applyFill="1" applyBorder="1" applyAlignment="1"/>
    <xf numFmtId="0" fontId="1" fillId="7" borderId="16" xfId="0" applyFont="1" applyFill="1" applyBorder="1" applyAlignment="1"/>
    <xf numFmtId="0" fontId="0" fillId="8" borderId="21" xfId="0" applyFill="1" applyBorder="1"/>
    <xf numFmtId="0" fontId="0" fillId="8" borderId="24" xfId="0" applyFill="1" applyBorder="1"/>
    <xf numFmtId="0" fontId="0" fillId="8" borderId="23" xfId="0" applyFill="1" applyBorder="1"/>
    <xf numFmtId="168" fontId="0" fillId="0" borderId="21" xfId="0" applyNumberFormat="1" applyBorder="1"/>
    <xf numFmtId="168" fontId="0" fillId="0" borderId="0" xfId="0" applyNumberFormat="1" applyBorder="1"/>
    <xf numFmtId="176" fontId="0" fillId="0" borderId="8" xfId="0" applyNumberFormat="1" applyBorder="1"/>
    <xf numFmtId="176" fontId="0" fillId="0" borderId="7" xfId="0" applyNumberFormat="1" applyBorder="1"/>
    <xf numFmtId="176" fontId="0" fillId="0" borderId="16" xfId="0" applyNumberFormat="1" applyBorder="1"/>
    <xf numFmtId="176" fontId="0" fillId="0" borderId="26" xfId="0" applyNumberFormat="1" applyBorder="1"/>
    <xf numFmtId="176" fontId="0" fillId="0" borderId="28" xfId="0" applyNumberFormat="1" applyBorder="1"/>
    <xf numFmtId="176" fontId="1" fillId="0" borderId="26" xfId="0" applyNumberFormat="1" applyFont="1" applyBorder="1"/>
    <xf numFmtId="168" fontId="0" fillId="0" borderId="25" xfId="0" applyNumberFormat="1" applyBorder="1"/>
    <xf numFmtId="177" fontId="0" fillId="0" borderId="25" xfId="0" applyNumberFormat="1" applyBorder="1"/>
    <xf numFmtId="0" fontId="0" fillId="8" borderId="0" xfId="0" applyFill="1"/>
    <xf numFmtId="0" fontId="0" fillId="10" borderId="0" xfId="0" applyFill="1"/>
    <xf numFmtId="180" fontId="0" fillId="0" borderId="21" xfId="0" applyNumberFormat="1" applyBorder="1"/>
    <xf numFmtId="180" fontId="0" fillId="0" borderId="0" xfId="0" applyNumberFormat="1" applyBorder="1"/>
    <xf numFmtId="10" fontId="0" fillId="0" borderId="0" xfId="0" applyNumberFormat="1" applyBorder="1"/>
    <xf numFmtId="180" fontId="0" fillId="0" borderId="0" xfId="0" applyNumberFormat="1"/>
    <xf numFmtId="0" fontId="1" fillId="0" borderId="2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U87"/>
  <sheetViews>
    <sheetView topLeftCell="A78" workbookViewId="0">
      <selection activeCell="C87" sqref="C87"/>
    </sheetView>
  </sheetViews>
  <sheetFormatPr defaultRowHeight="15"/>
  <cols>
    <col min="1" max="1" width="17.42578125" customWidth="1"/>
    <col min="2" max="2" width="21.7109375" customWidth="1"/>
    <col min="3" max="3" width="12.85546875" customWidth="1"/>
    <col min="4" max="4" width="11.28515625" customWidth="1"/>
    <col min="5" max="5" width="14.42578125" customWidth="1"/>
    <col min="6" max="6" width="14.85546875" customWidth="1"/>
    <col min="7" max="7" width="14.7109375" customWidth="1"/>
    <col min="8" max="8" width="11.7109375" bestFit="1" customWidth="1"/>
    <col min="9" max="10" width="15" customWidth="1"/>
    <col min="11" max="11" width="18.28515625" customWidth="1"/>
    <col min="12" max="12" width="11.42578125" customWidth="1"/>
    <col min="13" max="15" width="9.28515625" bestFit="1" customWidth="1"/>
    <col min="16" max="16" width="10.42578125" bestFit="1" customWidth="1"/>
    <col min="17" max="19" width="9.28515625" bestFit="1" customWidth="1"/>
  </cols>
  <sheetData>
    <row r="2" spans="1:10">
      <c r="A2" t="s">
        <v>0</v>
      </c>
      <c r="F2" s="2" t="s">
        <v>1</v>
      </c>
      <c r="G2" s="2"/>
    </row>
    <row r="3" spans="1:10">
      <c r="A3" t="s">
        <v>2</v>
      </c>
      <c r="F3" s="3" t="s">
        <v>3</v>
      </c>
      <c r="G3" s="3"/>
    </row>
    <row r="4" spans="1:10">
      <c r="F4" s="4" t="s">
        <v>4</v>
      </c>
      <c r="G4" s="4"/>
    </row>
    <row r="5" spans="1:10">
      <c r="A5" s="6" t="s">
        <v>5</v>
      </c>
      <c r="B5">
        <v>2025</v>
      </c>
      <c r="G5" t="s">
        <v>6</v>
      </c>
      <c r="I5" t="s">
        <v>7</v>
      </c>
    </row>
    <row r="6" spans="1:10">
      <c r="I6" t="s">
        <v>8</v>
      </c>
    </row>
    <row r="7" spans="1:10">
      <c r="A7" s="3" t="s">
        <v>9</v>
      </c>
      <c r="B7" s="3" t="s">
        <v>10</v>
      </c>
      <c r="C7" s="3"/>
      <c r="D7" s="3" t="s">
        <v>11</v>
      </c>
      <c r="E7" s="3"/>
      <c r="F7" s="3"/>
      <c r="G7" s="9">
        <v>60000</v>
      </c>
    </row>
    <row r="8" spans="1:10">
      <c r="A8" s="4" t="s">
        <v>12</v>
      </c>
      <c r="B8" s="3" t="s">
        <v>13</v>
      </c>
      <c r="C8" s="3"/>
      <c r="D8" s="3" t="s">
        <v>11</v>
      </c>
      <c r="E8" s="3"/>
      <c r="F8" s="3"/>
      <c r="G8" s="11"/>
      <c r="I8" s="3"/>
      <c r="J8" s="3"/>
    </row>
    <row r="9" spans="1:10">
      <c r="A9" s="4" t="s">
        <v>14</v>
      </c>
      <c r="B9" s="3" t="s">
        <v>15</v>
      </c>
      <c r="C9" s="3"/>
      <c r="D9" s="3"/>
      <c r="E9" s="3"/>
      <c r="F9" s="3"/>
      <c r="G9" s="11"/>
      <c r="I9" s="3">
        <v>700</v>
      </c>
      <c r="J9" s="3"/>
    </row>
    <row r="10" spans="1:10">
      <c r="A10" s="4" t="s">
        <v>16</v>
      </c>
      <c r="B10" s="3" t="s">
        <v>17</v>
      </c>
      <c r="C10" s="3"/>
      <c r="D10" s="3"/>
      <c r="E10" s="3"/>
      <c r="F10" s="3"/>
      <c r="G10" s="12">
        <v>0.9</v>
      </c>
      <c r="I10" s="12">
        <v>0.9</v>
      </c>
      <c r="J10" s="12"/>
    </row>
    <row r="11" spans="1:10">
      <c r="A11" s="4" t="s">
        <v>18</v>
      </c>
      <c r="B11" s="3" t="s">
        <v>19</v>
      </c>
      <c r="C11" s="3"/>
      <c r="D11" s="3"/>
      <c r="E11" s="3"/>
      <c r="F11" s="3"/>
      <c r="G11" s="13">
        <v>80</v>
      </c>
      <c r="I11" s="13">
        <v>80</v>
      </c>
      <c r="J11" s="13"/>
    </row>
    <row r="12" spans="1:10">
      <c r="A12" s="4" t="s">
        <v>20</v>
      </c>
      <c r="B12" s="3" t="s">
        <v>21</v>
      </c>
      <c r="C12" s="3"/>
      <c r="D12" s="3"/>
      <c r="E12" s="3"/>
      <c r="F12" s="3"/>
      <c r="G12" s="11">
        <v>11</v>
      </c>
      <c r="I12" s="3">
        <v>11</v>
      </c>
      <c r="J12" s="3"/>
    </row>
    <row r="13" spans="1:10">
      <c r="A13" s="4" t="s">
        <v>22</v>
      </c>
      <c r="B13" s="3" t="s">
        <v>23</v>
      </c>
      <c r="C13" s="3"/>
      <c r="D13" s="3" t="s">
        <v>24</v>
      </c>
      <c r="E13" s="3"/>
      <c r="F13" s="3"/>
      <c r="G13" s="3"/>
      <c r="I13" s="9">
        <v>30000</v>
      </c>
      <c r="J13" s="9"/>
    </row>
    <row r="15" spans="1:10">
      <c r="A15" s="6" t="s">
        <v>25</v>
      </c>
      <c r="B15" s="10"/>
    </row>
    <row r="16" spans="1:10">
      <c r="B16" s="5" t="s">
        <v>10</v>
      </c>
      <c r="C16" s="15">
        <f>$G$7</f>
        <v>60000</v>
      </c>
    </row>
    <row r="17" spans="1:12">
      <c r="B17" t="s">
        <v>26</v>
      </c>
      <c r="C17" s="16">
        <v>0.05</v>
      </c>
    </row>
    <row r="18" spans="1:12">
      <c r="B18" t="s">
        <v>27</v>
      </c>
      <c r="C18" s="2">
        <v>6</v>
      </c>
    </row>
    <row r="19" spans="1:12">
      <c r="B19" t="s">
        <v>28</v>
      </c>
      <c r="C19" s="1">
        <f>C16/C18/12</f>
        <v>833.33333333333337</v>
      </c>
      <c r="D19" s="7"/>
    </row>
    <row r="20" spans="1:12">
      <c r="B20" s="5" t="s">
        <v>13</v>
      </c>
      <c r="C20" s="15">
        <f>$G$8</f>
        <v>0</v>
      </c>
    </row>
    <row r="21" spans="1:12">
      <c r="B21" t="s">
        <v>26</v>
      </c>
      <c r="C21" s="8">
        <f>C17</f>
        <v>0.05</v>
      </c>
    </row>
    <row r="22" spans="1:12">
      <c r="B22" t="s">
        <v>27</v>
      </c>
      <c r="C22">
        <f>C18</f>
        <v>6</v>
      </c>
    </row>
    <row r="23" spans="1:12">
      <c r="B23" t="s">
        <v>28</v>
      </c>
      <c r="C23" s="1">
        <f>IF(C20=0,0,C20/C22/12)</f>
        <v>0</v>
      </c>
    </row>
    <row r="25" spans="1:12">
      <c r="B25" t="s">
        <v>29</v>
      </c>
    </row>
    <row r="27" spans="1:12">
      <c r="A27" s="17" t="s">
        <v>30</v>
      </c>
      <c r="B27" s="10"/>
    </row>
    <row r="28" spans="1:12">
      <c r="K28" t="s">
        <v>31</v>
      </c>
      <c r="L28" t="s">
        <v>32</v>
      </c>
    </row>
    <row r="29" spans="1:12">
      <c r="A29" s="17" t="s">
        <v>33</v>
      </c>
      <c r="B29" s="10"/>
      <c r="C29" s="10"/>
      <c r="D29" s="10"/>
      <c r="E29" s="10"/>
      <c r="F29" s="10"/>
      <c r="G29" s="10"/>
      <c r="H29" s="10"/>
      <c r="I29" s="10"/>
      <c r="J29" s="10"/>
      <c r="K29" t="s">
        <v>34</v>
      </c>
      <c r="L29" t="s">
        <v>35</v>
      </c>
    </row>
    <row r="30" spans="1:12">
      <c r="A30" t="s">
        <v>36</v>
      </c>
      <c r="C30" s="22">
        <v>52</v>
      </c>
      <c r="D30" t="s">
        <v>37</v>
      </c>
      <c r="E30" s="22">
        <v>5</v>
      </c>
      <c r="F30" t="s">
        <v>38</v>
      </c>
      <c r="G30" s="22">
        <v>8</v>
      </c>
      <c r="H30" t="s">
        <v>35</v>
      </c>
      <c r="I30">
        <f>(C30*E30*G30)</f>
        <v>2080</v>
      </c>
      <c r="L30">
        <f>I30</f>
        <v>2080</v>
      </c>
    </row>
    <row r="31" spans="1:12">
      <c r="B31" t="s">
        <v>39</v>
      </c>
      <c r="E31" s="22">
        <v>11</v>
      </c>
      <c r="G31" s="22">
        <v>8</v>
      </c>
      <c r="I31">
        <f>-(E31*G31)</f>
        <v>-88</v>
      </c>
      <c r="L31">
        <f>I31</f>
        <v>-88</v>
      </c>
    </row>
    <row r="32" spans="1:12">
      <c r="B32" t="s">
        <v>40</v>
      </c>
      <c r="E32" s="22">
        <v>30</v>
      </c>
      <c r="G32" s="22">
        <v>8</v>
      </c>
      <c r="I32">
        <f>-(E32*G32)</f>
        <v>-240</v>
      </c>
      <c r="L32">
        <f>I32</f>
        <v>-240</v>
      </c>
    </row>
    <row r="33" spans="1:21">
      <c r="B33" t="s">
        <v>41</v>
      </c>
      <c r="E33" s="4">
        <f>$G$12</f>
        <v>11</v>
      </c>
      <c r="G33" s="22">
        <v>8</v>
      </c>
      <c r="I33">
        <f>-(E33*G33)</f>
        <v>-88</v>
      </c>
      <c r="K33" s="4">
        <f>$I$12</f>
        <v>11</v>
      </c>
      <c r="L33">
        <f>I33</f>
        <v>-88</v>
      </c>
    </row>
    <row r="34" spans="1:21">
      <c r="A34" t="s">
        <v>42</v>
      </c>
      <c r="I34" s="29">
        <f>SUM(I30:I33)</f>
        <v>1664</v>
      </c>
      <c r="L34" s="21">
        <f>I34</f>
        <v>1664</v>
      </c>
    </row>
    <row r="35" spans="1:21">
      <c r="A35" t="s">
        <v>43</v>
      </c>
      <c r="H35" s="27">
        <v>0.19871800000000001</v>
      </c>
      <c r="I35" s="20">
        <f>-(H35*I34)</f>
        <v>-330.66675200000003</v>
      </c>
      <c r="L35" s="30">
        <f>-(H35*L34)</f>
        <v>-330.66675200000003</v>
      </c>
    </row>
    <row r="36" spans="1:21" ht="5.25" customHeight="1"/>
    <row r="37" spans="1:21">
      <c r="A37" s="17" t="s">
        <v>44</v>
      </c>
      <c r="B37" s="10"/>
      <c r="C37" s="24">
        <v>1</v>
      </c>
      <c r="D37" t="s">
        <v>45</v>
      </c>
      <c r="H37" t="s">
        <v>46</v>
      </c>
      <c r="I37" s="31">
        <f>SUM(I34:I35)</f>
        <v>1333.3332479999999</v>
      </c>
      <c r="K37" t="s">
        <v>46</v>
      </c>
      <c r="L37" s="31">
        <f>SUM(L34:L35)</f>
        <v>1333.3332479999999</v>
      </c>
    </row>
    <row r="39" spans="1:21">
      <c r="A39" s="23"/>
      <c r="B39" s="23"/>
      <c r="C39" s="23"/>
      <c r="D39" s="23"/>
      <c r="E39" s="23">
        <v>2025</v>
      </c>
      <c r="F39" s="23">
        <v>2026</v>
      </c>
      <c r="G39" s="23"/>
      <c r="H39" s="23" t="s">
        <v>47</v>
      </c>
      <c r="I39" s="23" t="s">
        <v>48</v>
      </c>
      <c r="J39" s="23" t="s">
        <v>49</v>
      </c>
      <c r="K39" s="23" t="s">
        <v>50</v>
      </c>
      <c r="L39" s="23" t="s">
        <v>51</v>
      </c>
      <c r="M39" s="23" t="s">
        <v>52</v>
      </c>
      <c r="N39" s="23" t="s">
        <v>53</v>
      </c>
      <c r="O39" s="23" t="s">
        <v>54</v>
      </c>
      <c r="P39" s="23" t="s">
        <v>55</v>
      </c>
      <c r="Q39" s="23" t="s">
        <v>56</v>
      </c>
      <c r="R39" s="23" t="s">
        <v>57</v>
      </c>
      <c r="S39" s="23" t="s">
        <v>58</v>
      </c>
      <c r="T39" s="23"/>
      <c r="U39" s="23"/>
    </row>
    <row r="40" spans="1:21">
      <c r="A40" s="17" t="s">
        <v>59</v>
      </c>
      <c r="B40" s="17"/>
    </row>
    <row r="41" spans="1:21">
      <c r="B41" t="s">
        <v>60</v>
      </c>
      <c r="E41" s="14">
        <f>$G$11</f>
        <v>80</v>
      </c>
      <c r="F41" s="14">
        <f>$I$11</f>
        <v>80</v>
      </c>
    </row>
    <row r="42" spans="1:21">
      <c r="B42" t="s">
        <v>61</v>
      </c>
      <c r="E42" s="19">
        <f>I37</f>
        <v>1333.3332479999999</v>
      </c>
      <c r="F42" s="19">
        <f>L37</f>
        <v>1333.3332479999999</v>
      </c>
    </row>
    <row r="43" spans="1:21">
      <c r="B43" t="s">
        <v>62</v>
      </c>
      <c r="E43" s="26">
        <f>$G$10</f>
        <v>0.9</v>
      </c>
      <c r="F43" s="26">
        <f>$I$10</f>
        <v>0.9</v>
      </c>
    </row>
    <row r="44" spans="1:21">
      <c r="B44" t="s">
        <v>63</v>
      </c>
      <c r="E44" s="21">
        <f>E42*E43</f>
        <v>1199.9999232</v>
      </c>
      <c r="F44" s="21">
        <f>F42*F43</f>
        <v>1199.9999232</v>
      </c>
    </row>
    <row r="45" spans="1:21">
      <c r="B45" t="s">
        <v>64</v>
      </c>
      <c r="E45" s="22">
        <v>15</v>
      </c>
      <c r="F45" s="22">
        <v>15</v>
      </c>
    </row>
    <row r="46" spans="1:21">
      <c r="B46" t="s">
        <v>65</v>
      </c>
      <c r="E46" s="7">
        <f>E41*E44*E45</f>
        <v>1439999.90784</v>
      </c>
      <c r="F46" s="7">
        <f>F41*F44*F45</f>
        <v>1439999.90784</v>
      </c>
    </row>
    <row r="47" spans="1:21">
      <c r="A47" s="23"/>
      <c r="B47" s="23"/>
      <c r="C47" s="23"/>
      <c r="D47" s="23"/>
      <c r="E47" s="23" t="s">
        <v>35</v>
      </c>
      <c r="F47" s="23" t="s">
        <v>66</v>
      </c>
      <c r="G47" s="23">
        <v>2025</v>
      </c>
      <c r="H47" s="23">
        <v>2026</v>
      </c>
      <c r="I47" s="23" t="s">
        <v>67</v>
      </c>
      <c r="J47" s="23">
        <v>2025</v>
      </c>
      <c r="K47" s="23">
        <v>2026</v>
      </c>
    </row>
    <row r="48" spans="1:21">
      <c r="A48" s="6" t="s">
        <v>68</v>
      </c>
      <c r="B48" s="10"/>
      <c r="I48" s="27">
        <v>0.21999199999999999</v>
      </c>
    </row>
    <row r="49" spans="1:19">
      <c r="B49" t="s">
        <v>69</v>
      </c>
      <c r="C49" s="22">
        <v>1</v>
      </c>
      <c r="D49" s="33">
        <v>7000</v>
      </c>
      <c r="E49">
        <f>$E$30*$G$30</f>
        <v>40</v>
      </c>
      <c r="F49" s="28">
        <v>45658</v>
      </c>
      <c r="G49" s="7">
        <f>D49*C49</f>
        <v>7000</v>
      </c>
      <c r="H49" s="7">
        <f>C49*D49</f>
        <v>7000</v>
      </c>
      <c r="I49" t="s">
        <v>70</v>
      </c>
      <c r="J49" s="34">
        <f>G49*$I$50*(1+$I$48)</f>
        <v>102479.32799999999</v>
      </c>
      <c r="K49" s="34">
        <f>H49*$I$50*(1+$I$48)</f>
        <v>102479.32799999999</v>
      </c>
    </row>
    <row r="50" spans="1:19">
      <c r="B50" t="s">
        <v>71</v>
      </c>
      <c r="C50" s="22">
        <v>1</v>
      </c>
      <c r="D50" s="33">
        <v>3300</v>
      </c>
      <c r="E50">
        <f>$E$30*$G$30</f>
        <v>40</v>
      </c>
      <c r="F50" s="28">
        <v>45658</v>
      </c>
      <c r="G50" s="7">
        <f>D50*C50</f>
        <v>3300</v>
      </c>
      <c r="H50" s="7">
        <f>C50*D50</f>
        <v>3300</v>
      </c>
      <c r="I50">
        <v>12</v>
      </c>
      <c r="J50" s="34">
        <f>G50*$I$50*(1+$I$48)</f>
        <v>48311.683199999999</v>
      </c>
      <c r="K50" s="34">
        <f t="shared" ref="K50:K53" si="0">H50*$I$50*(1+$I$48)</f>
        <v>48311.683199999999</v>
      </c>
    </row>
    <row r="51" spans="1:19">
      <c r="B51" t="s">
        <v>72</v>
      </c>
      <c r="C51" s="22">
        <v>2</v>
      </c>
      <c r="D51" s="33">
        <v>3300</v>
      </c>
      <c r="E51">
        <f>$E$30*$G$30</f>
        <v>40</v>
      </c>
      <c r="F51" s="28">
        <v>45658</v>
      </c>
      <c r="G51" s="7">
        <f>D51*C51</f>
        <v>6600</v>
      </c>
      <c r="H51" s="7">
        <f>C51*D51</f>
        <v>6600</v>
      </c>
      <c r="J51" s="34">
        <f>G51*$I$50*(1+$I$48)</f>
        <v>96623.366399999999</v>
      </c>
      <c r="K51" s="34">
        <f t="shared" si="0"/>
        <v>96623.366399999999</v>
      </c>
    </row>
    <row r="52" spans="1:19">
      <c r="B52" t="s">
        <v>73</v>
      </c>
      <c r="C52" s="22">
        <v>1</v>
      </c>
      <c r="D52" s="33">
        <v>3300</v>
      </c>
      <c r="E52">
        <f>$E$30*$G$30</f>
        <v>40</v>
      </c>
      <c r="F52" s="28">
        <v>45658</v>
      </c>
      <c r="G52" s="7">
        <f>D52*C52</f>
        <v>3300</v>
      </c>
      <c r="H52" s="7">
        <f>C52*D52</f>
        <v>3300</v>
      </c>
      <c r="J52" s="34">
        <f>G52*$I$50*(1+$I$48)</f>
        <v>48311.683199999999</v>
      </c>
      <c r="K52" s="34">
        <f t="shared" si="0"/>
        <v>48311.683199999999</v>
      </c>
    </row>
    <row r="53" spans="1:19">
      <c r="B53" t="s">
        <v>74</v>
      </c>
      <c r="C53" s="22">
        <v>15</v>
      </c>
      <c r="D53" s="33">
        <v>4300</v>
      </c>
      <c r="E53">
        <f>$E$30*$G$30</f>
        <v>40</v>
      </c>
      <c r="F53" s="28">
        <v>45658</v>
      </c>
      <c r="G53" s="7">
        <f>D53*C53</f>
        <v>64500</v>
      </c>
      <c r="H53" s="7">
        <f>C53*D53</f>
        <v>64500</v>
      </c>
      <c r="J53" s="34">
        <f>G53*$I$50*(1+$I$48)</f>
        <v>944273.80799999996</v>
      </c>
      <c r="K53" s="34">
        <f t="shared" si="0"/>
        <v>944273.80799999996</v>
      </c>
    </row>
    <row r="54" spans="1:19">
      <c r="B54" t="s">
        <v>75</v>
      </c>
      <c r="C54" s="22">
        <v>15</v>
      </c>
      <c r="D54" s="15">
        <f>$I$9</f>
        <v>700</v>
      </c>
      <c r="F54" s="28">
        <v>46023</v>
      </c>
      <c r="G54" s="7"/>
      <c r="H54" s="7">
        <f>C54*D54</f>
        <v>10500</v>
      </c>
      <c r="J54" s="34">
        <f>G54*$I$50*(1+$I$48)</f>
        <v>0</v>
      </c>
      <c r="K54" s="34">
        <f>H54*$I$50*(1+$I$48)</f>
        <v>153718.992</v>
      </c>
    </row>
    <row r="55" spans="1:19">
      <c r="B55" t="s">
        <v>76</v>
      </c>
      <c r="C55" s="25"/>
      <c r="J55" s="34">
        <f>SUM(J49:J54)</f>
        <v>1239999.8687999998</v>
      </c>
      <c r="K55" s="34">
        <f>SUM(K49:K54)</f>
        <v>1393718.8607999999</v>
      </c>
    </row>
    <row r="57" spans="1:19">
      <c r="A57" s="23"/>
      <c r="B57" s="23"/>
      <c r="C57" s="23"/>
      <c r="D57" s="23"/>
      <c r="E57" s="23">
        <v>2025</v>
      </c>
      <c r="F57" s="23">
        <v>2026</v>
      </c>
      <c r="G57" s="23"/>
      <c r="H57" s="23" t="s">
        <v>47</v>
      </c>
      <c r="I57" s="23" t="s">
        <v>48</v>
      </c>
      <c r="J57" s="23" t="s">
        <v>77</v>
      </c>
      <c r="K57" s="23" t="s">
        <v>50</v>
      </c>
      <c r="L57" s="23" t="s">
        <v>78</v>
      </c>
      <c r="M57" s="23" t="s">
        <v>52</v>
      </c>
      <c r="N57" s="23" t="s">
        <v>53</v>
      </c>
      <c r="O57" s="23" t="s">
        <v>54</v>
      </c>
      <c r="P57" s="23" t="s">
        <v>55</v>
      </c>
      <c r="Q57" s="23" t="s">
        <v>79</v>
      </c>
      <c r="R57" s="23" t="s">
        <v>57</v>
      </c>
      <c r="S57" s="23" t="s">
        <v>80</v>
      </c>
    </row>
    <row r="58" spans="1:19">
      <c r="A58" s="17" t="s">
        <v>81</v>
      </c>
      <c r="B58" s="10"/>
    </row>
    <row r="59" spans="1:19">
      <c r="B59" t="s">
        <v>82</v>
      </c>
      <c r="C59" s="22">
        <v>250</v>
      </c>
      <c r="D59" s="32">
        <v>15</v>
      </c>
      <c r="E59" s="1">
        <f>C59*D59*12</f>
        <v>45000</v>
      </c>
      <c r="F59" s="1">
        <f>C59*D59*12</f>
        <v>45000</v>
      </c>
    </row>
    <row r="60" spans="1:19">
      <c r="B60" t="s">
        <v>83</v>
      </c>
      <c r="E60" s="32">
        <v>100000</v>
      </c>
      <c r="F60" s="1">
        <f>E60</f>
        <v>100000</v>
      </c>
      <c r="H60" s="102">
        <v>7.2999999999999995E-2</v>
      </c>
      <c r="I60" s="102">
        <v>6.0999999999999999E-2</v>
      </c>
      <c r="J60" s="102">
        <v>7.0000000000000007E-2</v>
      </c>
      <c r="K60" s="102">
        <v>6.4000000000000001E-2</v>
      </c>
      <c r="L60" s="102">
        <v>0.23699999999999999</v>
      </c>
      <c r="M60" s="102">
        <v>6.2E-2</v>
      </c>
      <c r="N60" s="102">
        <v>7.1999999999999995E-2</v>
      </c>
      <c r="O60" s="102">
        <v>6.0999999999999999E-2</v>
      </c>
      <c r="P60" s="102">
        <v>0.105</v>
      </c>
      <c r="Q60" s="102">
        <v>6.4000000000000001E-2</v>
      </c>
      <c r="R60" s="102">
        <v>7.0000000000000007E-2</v>
      </c>
      <c r="S60" s="102">
        <v>6.0999999999999999E-2</v>
      </c>
    </row>
    <row r="61" spans="1:19">
      <c r="H61" s="103">
        <f>H60*$E$60</f>
        <v>7299.9999999999991</v>
      </c>
      <c r="I61" s="103">
        <f>I60*$E$60</f>
        <v>6100</v>
      </c>
      <c r="J61" s="103">
        <f>J60*$E$60</f>
        <v>7000.0000000000009</v>
      </c>
      <c r="K61" s="103">
        <f>K60*$E$60</f>
        <v>6400</v>
      </c>
      <c r="L61" s="103">
        <f>L60*$E$60</f>
        <v>23700</v>
      </c>
      <c r="M61" s="103">
        <f>M60*$E$60</f>
        <v>6200</v>
      </c>
      <c r="N61" s="103">
        <f>N60*$E$60</f>
        <v>7199.9999999999991</v>
      </c>
      <c r="O61" s="103">
        <f>O60*$E$60</f>
        <v>6100</v>
      </c>
      <c r="P61" s="103">
        <f>P60*$E$60</f>
        <v>10500</v>
      </c>
      <c r="Q61" s="103">
        <f>Q60*$E$60</f>
        <v>6400</v>
      </c>
      <c r="R61" s="103">
        <f>R60*$E$60</f>
        <v>7000.0000000000009</v>
      </c>
      <c r="S61" s="103">
        <f>S60*$E$60</f>
        <v>6100</v>
      </c>
    </row>
    <row r="62" spans="1:19">
      <c r="A62" s="23"/>
      <c r="B62" s="23"/>
      <c r="C62" s="23"/>
      <c r="D62" s="23"/>
      <c r="E62" s="23">
        <v>2025</v>
      </c>
      <c r="F62" s="23">
        <v>2026</v>
      </c>
    </row>
    <row r="63" spans="1:19">
      <c r="A63" s="17" t="s">
        <v>84</v>
      </c>
      <c r="B63" s="10"/>
    </row>
    <row r="64" spans="1:19">
      <c r="A64" t="s">
        <v>85</v>
      </c>
      <c r="B64" s="5" t="s">
        <v>86</v>
      </c>
      <c r="D64" s="36">
        <v>45658</v>
      </c>
      <c r="E64" s="35">
        <v>39000</v>
      </c>
      <c r="F64" s="1">
        <v>0</v>
      </c>
    </row>
    <row r="65" spans="1:6">
      <c r="A65" t="s">
        <v>87</v>
      </c>
      <c r="B65" s="22">
        <v>3</v>
      </c>
    </row>
    <row r="66" spans="1:6">
      <c r="A66" t="s">
        <v>88</v>
      </c>
      <c r="E66" s="1">
        <f>E64/B65</f>
        <v>13000</v>
      </c>
      <c r="F66" s="1">
        <f>(E64+F64)/B65</f>
        <v>13000</v>
      </c>
    </row>
    <row r="67" spans="1:6">
      <c r="A67" t="s">
        <v>89</v>
      </c>
      <c r="B67" s="5" t="s">
        <v>90</v>
      </c>
      <c r="D67" s="36">
        <v>45658</v>
      </c>
      <c r="E67" s="35">
        <v>65000</v>
      </c>
      <c r="F67" s="1">
        <v>0</v>
      </c>
    </row>
    <row r="68" spans="1:6">
      <c r="A68" t="s">
        <v>87</v>
      </c>
      <c r="B68" s="22">
        <v>13</v>
      </c>
    </row>
    <row r="69" spans="1:6">
      <c r="A69" t="s">
        <v>91</v>
      </c>
      <c r="E69" s="7">
        <f>E67/B68</f>
        <v>5000</v>
      </c>
      <c r="F69" s="1">
        <f>(E67+F67)/B68</f>
        <v>5000</v>
      </c>
    </row>
    <row r="70" spans="1:6">
      <c r="A70" t="s">
        <v>89</v>
      </c>
      <c r="B70" s="5" t="s">
        <v>92</v>
      </c>
      <c r="D70" s="36">
        <v>46023</v>
      </c>
      <c r="F70" s="15">
        <f>I13</f>
        <v>30000</v>
      </c>
    </row>
    <row r="71" spans="1:6">
      <c r="A71" t="s">
        <v>87</v>
      </c>
      <c r="B71" s="22">
        <v>5</v>
      </c>
    </row>
    <row r="72" spans="1:6">
      <c r="A72" t="s">
        <v>93</v>
      </c>
      <c r="F72" s="7">
        <f>F70/B71</f>
        <v>6000</v>
      </c>
    </row>
    <row r="73" spans="1:6">
      <c r="A73" s="5" t="s">
        <v>94</v>
      </c>
      <c r="E73" s="7">
        <f>E64+E67</f>
        <v>104000</v>
      </c>
      <c r="F73" s="7">
        <f>F70</f>
        <v>30000</v>
      </c>
    </row>
    <row r="74" spans="1:6">
      <c r="A74" s="5" t="s">
        <v>95</v>
      </c>
      <c r="E74" s="1">
        <f>E66+E69</f>
        <v>18000</v>
      </c>
      <c r="F74" s="7">
        <f>F66+F69+F72</f>
        <v>24000</v>
      </c>
    </row>
    <row r="77" spans="1:6">
      <c r="A77" s="23"/>
      <c r="B77" s="23"/>
      <c r="C77" s="23"/>
      <c r="D77" s="23">
        <v>2024</v>
      </c>
      <c r="E77" s="23">
        <v>2025</v>
      </c>
      <c r="F77" s="23">
        <v>2026</v>
      </c>
    </row>
    <row r="78" spans="1:6">
      <c r="A78" s="17" t="s">
        <v>96</v>
      </c>
      <c r="B78" s="10"/>
    </row>
    <row r="79" spans="1:6">
      <c r="A79" s="18" t="s">
        <v>97</v>
      </c>
      <c r="D79" s="1">
        <v>0</v>
      </c>
    </row>
    <row r="80" spans="1:6">
      <c r="A80" t="s">
        <v>98</v>
      </c>
      <c r="B80" t="s">
        <v>99</v>
      </c>
      <c r="D80" s="32">
        <v>0</v>
      </c>
    </row>
    <row r="81" spans="1:5">
      <c r="B81" t="s">
        <v>100</v>
      </c>
      <c r="D81" s="33">
        <v>100000</v>
      </c>
    </row>
    <row r="82" spans="1:5">
      <c r="A82" t="s">
        <v>101</v>
      </c>
      <c r="D82" s="7">
        <f>SUM(D80:D81)</f>
        <v>100000</v>
      </c>
    </row>
    <row r="83" spans="1:5">
      <c r="A83" t="s">
        <v>102</v>
      </c>
      <c r="B83" t="s">
        <v>103</v>
      </c>
      <c r="D83" s="33">
        <v>50000</v>
      </c>
    </row>
    <row r="84" spans="1:5">
      <c r="B84" t="s">
        <v>104</v>
      </c>
      <c r="D84" s="33">
        <v>30000</v>
      </c>
    </row>
    <row r="85" spans="1:5" ht="15.75" customHeight="1">
      <c r="B85" t="s">
        <v>105</v>
      </c>
      <c r="D85" s="33">
        <v>20000</v>
      </c>
      <c r="E85" s="18" t="s">
        <v>106</v>
      </c>
    </row>
    <row r="86" spans="1:5">
      <c r="A86" t="s">
        <v>107</v>
      </c>
      <c r="B86" t="s">
        <v>108</v>
      </c>
      <c r="D86" s="1">
        <v>0</v>
      </c>
    </row>
    <row r="87" spans="1:5">
      <c r="A87" t="s">
        <v>101</v>
      </c>
      <c r="D87" s="7">
        <f>SUM(D83:D85)</f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B337-EC9B-4D4F-9904-ED6D271B561F}">
  <sheetPr>
    <tabColor rgb="FF92D050"/>
  </sheetPr>
  <dimension ref="D12:O18"/>
  <sheetViews>
    <sheetView workbookViewId="0">
      <selection activeCell="D13" sqref="D13"/>
    </sheetView>
  </sheetViews>
  <sheetFormatPr defaultRowHeight="15" outlineLevelCol="1"/>
  <cols>
    <col min="4" max="7" width="10.7109375" customWidth="1" outlineLevel="1"/>
    <col min="8" max="8" width="11.85546875" customWidth="1" outlineLevel="1"/>
    <col min="9" max="11" width="10.7109375" customWidth="1" outlineLevel="1"/>
    <col min="12" max="12" width="11.85546875" customWidth="1" outlineLevel="1"/>
    <col min="13" max="15" width="10.7109375" customWidth="1" outlineLevel="1"/>
    <col min="16" max="16" width="13" bestFit="1" customWidth="1"/>
  </cols>
  <sheetData>
    <row r="12" spans="12:12">
      <c r="L12" s="1"/>
    </row>
    <row r="18" spans="6:6">
      <c r="F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6683-ABD3-4059-8C37-C717730CF6AA}">
  <sheetPr>
    <tabColor rgb="FF92D05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A015-1710-4852-9955-905E3089CEAA}">
  <dimension ref="A2:AA12"/>
  <sheetViews>
    <sheetView tabSelected="1" workbookViewId="0">
      <selection activeCell="E14" sqref="E14"/>
    </sheetView>
  </sheetViews>
  <sheetFormatPr defaultRowHeight="15" outlineLevelCol="1"/>
  <cols>
    <col min="1" max="1" width="20.42578125" customWidth="1"/>
    <col min="2" max="13" width="10.7109375" customWidth="1" outlineLevel="1"/>
    <col min="14" max="14" width="13.85546875" bestFit="1" customWidth="1"/>
    <col min="15" max="26" width="10.7109375" customWidth="1" outlineLevel="1"/>
    <col min="27" max="27" width="13.85546875" bestFit="1" customWidth="1"/>
  </cols>
  <sheetData>
    <row r="2" spans="1:27">
      <c r="N2" s="37" t="s">
        <v>109</v>
      </c>
      <c r="AA2" s="37" t="s">
        <v>109</v>
      </c>
    </row>
    <row r="3" spans="1:27">
      <c r="B3" s="45" t="s">
        <v>110</v>
      </c>
      <c r="C3" s="45" t="s">
        <v>111</v>
      </c>
      <c r="D3" s="45" t="s">
        <v>112</v>
      </c>
      <c r="E3" s="45" t="s">
        <v>113</v>
      </c>
      <c r="F3" s="45" t="s">
        <v>114</v>
      </c>
      <c r="G3" s="45" t="s">
        <v>115</v>
      </c>
      <c r="H3" s="45" t="s">
        <v>116</v>
      </c>
      <c r="I3" s="45" t="s">
        <v>117</v>
      </c>
      <c r="J3" s="45" t="s">
        <v>118</v>
      </c>
      <c r="K3" s="45" t="s">
        <v>119</v>
      </c>
      <c r="L3" s="45" t="s">
        <v>120</v>
      </c>
      <c r="M3" s="45" t="s">
        <v>121</v>
      </c>
      <c r="N3" s="38">
        <v>2025</v>
      </c>
      <c r="O3" s="45" t="s">
        <v>110</v>
      </c>
      <c r="P3" s="45" t="s">
        <v>111</v>
      </c>
      <c r="Q3" s="45" t="s">
        <v>112</v>
      </c>
      <c r="R3" s="45" t="s">
        <v>113</v>
      </c>
      <c r="S3" s="45" t="s">
        <v>114</v>
      </c>
      <c r="T3" s="45" t="s">
        <v>115</v>
      </c>
      <c r="U3" s="45" t="s">
        <v>116</v>
      </c>
      <c r="V3" s="45" t="s">
        <v>117</v>
      </c>
      <c r="W3" s="45" t="s">
        <v>118</v>
      </c>
      <c r="X3" s="45" t="s">
        <v>119</v>
      </c>
      <c r="Y3" s="45" t="s">
        <v>120</v>
      </c>
      <c r="Z3" s="45" t="s">
        <v>121</v>
      </c>
      <c r="AA3" s="38">
        <v>2026</v>
      </c>
    </row>
    <row r="4" spans="1:27">
      <c r="A4" s="5" t="s">
        <v>122</v>
      </c>
      <c r="B4" s="8">
        <v>0.05</v>
      </c>
      <c r="C4" s="8">
        <v>0.1</v>
      </c>
      <c r="D4" s="8">
        <v>0.1</v>
      </c>
      <c r="E4" s="8">
        <v>0.08</v>
      </c>
      <c r="F4" s="8">
        <v>0.05</v>
      </c>
      <c r="G4" s="8">
        <v>0.1</v>
      </c>
      <c r="H4" s="8">
        <v>0.05</v>
      </c>
      <c r="I4" s="8">
        <v>0.05</v>
      </c>
      <c r="J4" s="8">
        <v>0.15</v>
      </c>
      <c r="K4" s="8">
        <v>0.1</v>
      </c>
      <c r="L4" s="8">
        <v>0.08</v>
      </c>
      <c r="M4" s="8">
        <v>0.09</v>
      </c>
      <c r="O4" s="8">
        <v>0.05</v>
      </c>
      <c r="P4" s="8">
        <v>0.1</v>
      </c>
      <c r="Q4" s="8">
        <v>0.1</v>
      </c>
      <c r="R4" s="8">
        <v>0.08</v>
      </c>
      <c r="S4" s="8">
        <v>0.05</v>
      </c>
      <c r="T4" s="8">
        <v>0.1</v>
      </c>
      <c r="U4" s="8">
        <v>0.05</v>
      </c>
      <c r="V4" s="8">
        <v>0.05</v>
      </c>
      <c r="W4" s="8">
        <v>0.15</v>
      </c>
      <c r="X4" s="8">
        <v>0.1</v>
      </c>
      <c r="Y4" s="8">
        <v>0.08</v>
      </c>
      <c r="Z4" s="8">
        <v>0.09</v>
      </c>
    </row>
    <row r="5" spans="1:27">
      <c r="A5" s="5"/>
    </row>
    <row r="6" spans="1:27" s="59" customFormat="1">
      <c r="A6" s="59" t="s">
        <v>123</v>
      </c>
      <c r="B6" s="60">
        <f>$N$6*B4</f>
        <v>71999.995391999997</v>
      </c>
      <c r="C6" s="60">
        <f>$N$6*C4</f>
        <v>143999.99078399999</v>
      </c>
      <c r="D6" s="60">
        <f>$N$6*D4</f>
        <v>143999.99078399999</v>
      </c>
      <c r="E6" s="60">
        <f>$N$6*E4</f>
        <v>115199.9926272</v>
      </c>
      <c r="F6" s="60">
        <f>$N$6*F4</f>
        <v>71999.995391999997</v>
      </c>
      <c r="G6" s="60">
        <f>$N$6*G4</f>
        <v>143999.99078399999</v>
      </c>
      <c r="H6" s="60">
        <f>$N$6*H4</f>
        <v>71999.995391999997</v>
      </c>
      <c r="I6" s="60">
        <f>$N$6*I4</f>
        <v>71999.995391999997</v>
      </c>
      <c r="J6" s="60">
        <f>$N$6*J4</f>
        <v>215999.98617600001</v>
      </c>
      <c r="K6" s="60">
        <f>$N$6*K4</f>
        <v>143999.99078399999</v>
      </c>
      <c r="L6" s="60">
        <f>$N$6*L4</f>
        <v>115199.9926272</v>
      </c>
      <c r="M6" s="60">
        <f>$N$6*M4</f>
        <v>129599.9917056</v>
      </c>
      <c r="N6" s="60">
        <f>Annahmen!$E$46</f>
        <v>1439999.90784</v>
      </c>
      <c r="O6" s="60">
        <f>$AA$6*O4</f>
        <v>71999.995391999997</v>
      </c>
      <c r="P6" s="60">
        <f>$AA$6*P4</f>
        <v>143999.99078399999</v>
      </c>
      <c r="Q6" s="60">
        <f>$AA$6*Q4</f>
        <v>143999.99078399999</v>
      </c>
      <c r="R6" s="60">
        <f>$AA$6*R4</f>
        <v>115199.9926272</v>
      </c>
      <c r="S6" s="60">
        <f>$AA$6*S4</f>
        <v>71999.995391999997</v>
      </c>
      <c r="T6" s="60">
        <f>$AA$6*T4</f>
        <v>143999.99078399999</v>
      </c>
      <c r="U6" s="60">
        <f>$AA$6*U4</f>
        <v>71999.995391999997</v>
      </c>
      <c r="V6" s="60">
        <f>$AA$6*V4</f>
        <v>71999.995391999997</v>
      </c>
      <c r="W6" s="60">
        <f>$AA$6*W4</f>
        <v>215999.98617600001</v>
      </c>
      <c r="X6" s="60">
        <f>$AA$6*X4</f>
        <v>143999.99078399999</v>
      </c>
      <c r="Y6" s="60">
        <f>$AA$6*Y4</f>
        <v>115199.9926272</v>
      </c>
      <c r="Z6" s="60">
        <f>$AA$6*Z4</f>
        <v>129599.9917056</v>
      </c>
      <c r="AA6" s="60">
        <f>Annahmen!$F$46</f>
        <v>1439999.90784</v>
      </c>
    </row>
    <row r="8" spans="1:27">
      <c r="P8" s="5" t="s">
        <v>124</v>
      </c>
    </row>
    <row r="9" spans="1:27">
      <c r="A9" s="5" t="s">
        <v>125</v>
      </c>
      <c r="D9" s="68" t="s">
        <v>110</v>
      </c>
      <c r="E9" s="68" t="s">
        <v>111</v>
      </c>
      <c r="F9" s="68" t="s">
        <v>126</v>
      </c>
      <c r="G9" s="68" t="s">
        <v>113</v>
      </c>
      <c r="H9" s="68" t="s">
        <v>127</v>
      </c>
      <c r="I9" s="68" t="s">
        <v>115</v>
      </c>
      <c r="J9" s="68" t="s">
        <v>116</v>
      </c>
      <c r="K9" s="68" t="s">
        <v>117</v>
      </c>
      <c r="L9" s="68" t="s">
        <v>118</v>
      </c>
      <c r="M9" s="68" t="s">
        <v>128</v>
      </c>
      <c r="N9" s="68" t="s">
        <v>120</v>
      </c>
      <c r="O9" s="68" t="s">
        <v>129</v>
      </c>
      <c r="P9" s="68">
        <v>2025</v>
      </c>
    </row>
    <row r="10" spans="1:27">
      <c r="A10" s="5" t="s">
        <v>130</v>
      </c>
      <c r="D10" s="61">
        <f>D11/$P$11</f>
        <v>7.2999999999999995E-2</v>
      </c>
      <c r="E10" s="61">
        <f>E11/$P$11</f>
        <v>6.0999999999999999E-2</v>
      </c>
      <c r="F10" s="61">
        <f>F11/$P$11</f>
        <v>7.0000000000000007E-2</v>
      </c>
      <c r="G10" s="61">
        <f>G11/$P$11</f>
        <v>6.4000000000000001E-2</v>
      </c>
      <c r="H10" s="61">
        <f>H11/$P$11</f>
        <v>0.23699999999999999</v>
      </c>
      <c r="I10" s="61">
        <f>I11/$P$11</f>
        <v>6.2E-2</v>
      </c>
      <c r="J10" s="61">
        <f>J11/$P$11</f>
        <v>7.1999999999999995E-2</v>
      </c>
      <c r="K10" s="61">
        <f>K11/$P$11</f>
        <v>6.0999999999999999E-2</v>
      </c>
      <c r="L10" s="61">
        <f>L11/$P$11</f>
        <v>0.105</v>
      </c>
      <c r="M10" s="61">
        <f>M11/$P$11</f>
        <v>6.4000000000000001E-2</v>
      </c>
      <c r="N10" s="61">
        <f>N11/$P$11</f>
        <v>7.0000000000000007E-2</v>
      </c>
      <c r="O10" s="61">
        <f>O11/$P$11</f>
        <v>6.0999999999999999E-2</v>
      </c>
      <c r="P10" s="8">
        <f>SUM(D10:O10)</f>
        <v>1</v>
      </c>
    </row>
    <row r="11" spans="1:27">
      <c r="A11" s="5" t="s">
        <v>83</v>
      </c>
      <c r="D11" s="7">
        <v>7300</v>
      </c>
      <c r="E11" s="7">
        <v>6100</v>
      </c>
      <c r="F11" s="7">
        <v>7000</v>
      </c>
      <c r="G11" s="7">
        <v>6400</v>
      </c>
      <c r="H11" s="7">
        <v>23700</v>
      </c>
      <c r="I11" s="7">
        <v>6200</v>
      </c>
      <c r="J11" s="7">
        <v>7200</v>
      </c>
      <c r="K11" s="7">
        <v>6100</v>
      </c>
      <c r="L11" s="7">
        <v>10500</v>
      </c>
      <c r="M11" s="7">
        <v>6400</v>
      </c>
      <c r="N11" s="7">
        <v>7000</v>
      </c>
      <c r="O11" s="7">
        <v>6100</v>
      </c>
      <c r="P11" s="7">
        <f>SUM(D11:O11)</f>
        <v>100000</v>
      </c>
    </row>
    <row r="12" spans="1:27">
      <c r="A12" s="5" t="s">
        <v>131</v>
      </c>
      <c r="D12" s="7">
        <v>3750</v>
      </c>
      <c r="E12" s="7">
        <v>3750</v>
      </c>
      <c r="F12" s="7">
        <v>3750</v>
      </c>
      <c r="G12" s="7">
        <v>3750</v>
      </c>
      <c r="H12" s="7">
        <v>3750</v>
      </c>
      <c r="I12" s="7">
        <v>3750</v>
      </c>
      <c r="J12" s="7">
        <v>3750</v>
      </c>
      <c r="K12" s="7">
        <v>3750</v>
      </c>
      <c r="L12" s="7">
        <v>3750</v>
      </c>
      <c r="M12" s="7">
        <v>3750</v>
      </c>
      <c r="N12" s="7">
        <v>3750</v>
      </c>
      <c r="O12" s="7">
        <v>3750</v>
      </c>
      <c r="P12" s="7">
        <f>SUM(D12:O12)</f>
        <v>45000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4849-42BC-4CE8-B4A7-27323F3DF716}">
  <dimension ref="A1:R21"/>
  <sheetViews>
    <sheetView workbookViewId="0">
      <selection activeCell="B1" sqref="B1"/>
    </sheetView>
  </sheetViews>
  <sheetFormatPr defaultRowHeight="15"/>
  <cols>
    <col min="2" max="2" width="21.85546875" customWidth="1"/>
    <col min="3" max="4" width="10.7109375" bestFit="1" customWidth="1"/>
    <col min="5" max="6" width="19.140625" customWidth="1"/>
    <col min="7" max="18" width="13" bestFit="1" customWidth="1"/>
  </cols>
  <sheetData>
    <row r="1" spans="1:18">
      <c r="B1" t="s">
        <v>132</v>
      </c>
      <c r="C1" s="47"/>
      <c r="F1" s="47"/>
    </row>
    <row r="2" spans="1:18">
      <c r="A2" s="40"/>
      <c r="B2" s="40"/>
      <c r="C2" s="47"/>
      <c r="D2" s="40"/>
      <c r="E2" s="65" t="s">
        <v>133</v>
      </c>
      <c r="F2" s="83"/>
      <c r="G2" s="48">
        <f>2025</f>
        <v>2025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>
      <c r="A3" s="49"/>
      <c r="B3" s="50"/>
      <c r="C3" s="51"/>
      <c r="D3" s="52"/>
      <c r="E3" s="66"/>
      <c r="F3" s="84"/>
      <c r="G3" s="53">
        <v>45658</v>
      </c>
      <c r="H3" s="53">
        <v>45689</v>
      </c>
      <c r="I3" s="53">
        <v>45717</v>
      </c>
      <c r="J3" s="53">
        <v>45748</v>
      </c>
      <c r="K3" s="53">
        <v>45778</v>
      </c>
      <c r="L3" s="53">
        <v>45809</v>
      </c>
      <c r="M3" s="53">
        <v>45839</v>
      </c>
      <c r="N3" s="53">
        <v>45870</v>
      </c>
      <c r="O3" s="53">
        <v>45901</v>
      </c>
      <c r="P3" s="53">
        <v>45931</v>
      </c>
      <c r="Q3" s="53">
        <v>45962</v>
      </c>
      <c r="R3" s="53">
        <v>45992</v>
      </c>
    </row>
    <row r="4" spans="1:18">
      <c r="A4" s="62" t="s">
        <v>134</v>
      </c>
      <c r="B4" s="63"/>
      <c r="C4" s="64"/>
      <c r="D4" s="42"/>
      <c r="E4" s="41"/>
      <c r="F4" s="90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</row>
    <row r="5" spans="1:18">
      <c r="A5" s="43"/>
      <c r="B5" s="39"/>
      <c r="C5" s="46"/>
      <c r="D5" s="44"/>
      <c r="F5" s="91"/>
    </row>
    <row r="6" spans="1:18">
      <c r="A6" s="43">
        <v>1</v>
      </c>
      <c r="B6" s="40" t="s">
        <v>135</v>
      </c>
      <c r="C6" s="47">
        <f>Annahmen!E49</f>
        <v>40</v>
      </c>
      <c r="D6" s="73">
        <f>Annahmen!D49</f>
        <v>7000</v>
      </c>
      <c r="E6" s="7">
        <f>Annahmen!G49</f>
        <v>7000</v>
      </c>
      <c r="F6" s="91">
        <v>45658</v>
      </c>
      <c r="G6" s="7">
        <f>$E$6</f>
        <v>7000</v>
      </c>
      <c r="H6" s="7">
        <f>$E$6</f>
        <v>7000</v>
      </c>
      <c r="I6" s="7">
        <f>$E$6</f>
        <v>7000</v>
      </c>
      <c r="J6" s="7">
        <f>$E$6</f>
        <v>7000</v>
      </c>
      <c r="K6" s="7">
        <f>$E$6</f>
        <v>7000</v>
      </c>
      <c r="L6" s="7">
        <f>$E$6</f>
        <v>7000</v>
      </c>
      <c r="M6" s="7">
        <f>$E$6</f>
        <v>7000</v>
      </c>
      <c r="N6" s="7">
        <f>$E$6</f>
        <v>7000</v>
      </c>
      <c r="O6" s="7">
        <f>$E$6</f>
        <v>7000</v>
      </c>
      <c r="P6" s="7">
        <f>$E$6</f>
        <v>7000</v>
      </c>
      <c r="Q6" s="7">
        <f>$E$6</f>
        <v>7000</v>
      </c>
      <c r="R6" s="7">
        <f>$E$6</f>
        <v>7000</v>
      </c>
    </row>
    <row r="7" spans="1:18">
      <c r="A7" s="43">
        <f>Annahmen!C50</f>
        <v>1</v>
      </c>
      <c r="B7" s="40" t="s">
        <v>71</v>
      </c>
      <c r="C7" s="47">
        <f>Annahmen!E50</f>
        <v>40</v>
      </c>
      <c r="D7" s="73">
        <f>Annahmen!D50</f>
        <v>3300</v>
      </c>
      <c r="E7" s="7">
        <f>Annahmen!G50</f>
        <v>3300</v>
      </c>
      <c r="F7" s="91">
        <v>45658</v>
      </c>
      <c r="G7" s="7">
        <f>$E$7</f>
        <v>3300</v>
      </c>
      <c r="H7" s="7">
        <f>$E$7</f>
        <v>3300</v>
      </c>
      <c r="I7" s="7">
        <f>$E$7</f>
        <v>3300</v>
      </c>
      <c r="J7" s="7">
        <f>$E$7</f>
        <v>3300</v>
      </c>
      <c r="K7" s="7">
        <f>$E$7</f>
        <v>3300</v>
      </c>
      <c r="L7" s="7">
        <f>$E$7</f>
        <v>3300</v>
      </c>
      <c r="M7" s="7">
        <f>$E$7</f>
        <v>3300</v>
      </c>
      <c r="N7" s="7">
        <f>$E$7</f>
        <v>3300</v>
      </c>
      <c r="O7" s="7">
        <f>$E$7</f>
        <v>3300</v>
      </c>
      <c r="P7" s="7">
        <f>$E$7</f>
        <v>3300</v>
      </c>
      <c r="Q7" s="7">
        <f>$E$7</f>
        <v>3300</v>
      </c>
      <c r="R7" s="7">
        <f>$E$7</f>
        <v>3300</v>
      </c>
    </row>
    <row r="8" spans="1:18">
      <c r="A8" s="43">
        <f>Annahmen!C51</f>
        <v>2</v>
      </c>
      <c r="B8" s="40" t="s">
        <v>72</v>
      </c>
      <c r="C8" s="47">
        <f>Annahmen!E51</f>
        <v>40</v>
      </c>
      <c r="D8" s="73">
        <f>Annahmen!D51</f>
        <v>3300</v>
      </c>
      <c r="E8" s="7">
        <f>Annahmen!G51</f>
        <v>6600</v>
      </c>
      <c r="F8" s="91">
        <v>45658</v>
      </c>
      <c r="G8" s="7">
        <f>$E$8</f>
        <v>6600</v>
      </c>
      <c r="H8" s="7">
        <f>$E$8</f>
        <v>6600</v>
      </c>
      <c r="I8" s="7">
        <f>$E$8</f>
        <v>6600</v>
      </c>
      <c r="J8" s="7">
        <f>$E$8</f>
        <v>6600</v>
      </c>
      <c r="K8" s="7">
        <f>$E$8</f>
        <v>6600</v>
      </c>
      <c r="L8" s="7">
        <f>$E$8</f>
        <v>6600</v>
      </c>
      <c r="M8" s="7">
        <f>$E$8</f>
        <v>6600</v>
      </c>
      <c r="N8" s="7">
        <f>$E$8</f>
        <v>6600</v>
      </c>
      <c r="O8" s="7">
        <f>$E$8</f>
        <v>6600</v>
      </c>
      <c r="P8" s="7">
        <f>$E$8</f>
        <v>6600</v>
      </c>
      <c r="Q8" s="7">
        <f>$E$8</f>
        <v>6600</v>
      </c>
      <c r="R8" s="7">
        <f>$E$8</f>
        <v>6600</v>
      </c>
    </row>
    <row r="9" spans="1:18">
      <c r="A9" s="43">
        <f>Annahmen!C52</f>
        <v>1</v>
      </c>
      <c r="B9" s="40" t="s">
        <v>136</v>
      </c>
      <c r="C9" s="47">
        <f>Annahmen!E52</f>
        <v>40</v>
      </c>
      <c r="D9" s="73">
        <f>Annahmen!D52</f>
        <v>3300</v>
      </c>
      <c r="E9" s="7">
        <f>Annahmen!G52</f>
        <v>3300</v>
      </c>
      <c r="F9" s="91">
        <v>45658</v>
      </c>
      <c r="G9" s="7">
        <f>$E$9</f>
        <v>3300</v>
      </c>
      <c r="H9" s="7">
        <f>$E$9</f>
        <v>3300</v>
      </c>
      <c r="I9" s="7">
        <f>$E$9</f>
        <v>3300</v>
      </c>
      <c r="J9" s="7">
        <f>$E$9</f>
        <v>3300</v>
      </c>
      <c r="K9" s="7">
        <f>$E$9</f>
        <v>3300</v>
      </c>
      <c r="L9" s="7">
        <f>$E$9</f>
        <v>3300</v>
      </c>
      <c r="M9" s="7">
        <f>$E$9</f>
        <v>3300</v>
      </c>
      <c r="N9" s="7">
        <f>$E$9</f>
        <v>3300</v>
      </c>
      <c r="O9" s="7">
        <f>$E$9</f>
        <v>3300</v>
      </c>
      <c r="P9" s="7">
        <f>$E$9</f>
        <v>3300</v>
      </c>
      <c r="Q9" s="7">
        <f>$E$9</f>
        <v>3300</v>
      </c>
      <c r="R9" s="7">
        <f>$E$9</f>
        <v>3300</v>
      </c>
    </row>
    <row r="10" spans="1:18">
      <c r="A10" s="43">
        <f>Annahmen!C54</f>
        <v>15</v>
      </c>
      <c r="B10" s="40" t="s">
        <v>74</v>
      </c>
      <c r="C10" s="47">
        <f>Annahmen!E53</f>
        <v>40</v>
      </c>
      <c r="D10" s="73">
        <f>Annahmen!D53</f>
        <v>4300</v>
      </c>
      <c r="E10" s="7">
        <f>Annahmen!G53</f>
        <v>64500</v>
      </c>
      <c r="F10" s="91">
        <v>45658</v>
      </c>
      <c r="G10" s="7">
        <f>$E$10</f>
        <v>64500</v>
      </c>
      <c r="H10" s="7">
        <f>$E$10</f>
        <v>64500</v>
      </c>
      <c r="I10" s="7">
        <f>$E$10</f>
        <v>64500</v>
      </c>
      <c r="J10" s="7">
        <f>$E$10</f>
        <v>64500</v>
      </c>
      <c r="K10" s="7">
        <f>$E$10</f>
        <v>64500</v>
      </c>
      <c r="L10" s="7">
        <f>$E$10</f>
        <v>64500</v>
      </c>
      <c r="M10" s="7">
        <f>$E$10</f>
        <v>64500</v>
      </c>
      <c r="N10" s="7">
        <f>$E$10</f>
        <v>64500</v>
      </c>
      <c r="O10" s="7">
        <f>$E$10</f>
        <v>64500</v>
      </c>
      <c r="P10" s="7">
        <f>$E$10</f>
        <v>64500</v>
      </c>
      <c r="Q10" s="7">
        <f>$E$10</f>
        <v>64500</v>
      </c>
      <c r="R10" s="7">
        <f>$E$10</f>
        <v>64500</v>
      </c>
    </row>
    <row r="11" spans="1:18">
      <c r="A11" s="54"/>
      <c r="B11" s="55"/>
      <c r="C11" s="56"/>
      <c r="D11" s="74"/>
      <c r="E11" s="75"/>
      <c r="F11" s="92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</row>
    <row r="12" spans="1:18">
      <c r="A12" s="57"/>
      <c r="B12" s="70" t="s">
        <v>137</v>
      </c>
      <c r="C12" s="79"/>
      <c r="D12" s="76"/>
      <c r="E12" s="76"/>
      <c r="F12" s="93"/>
      <c r="G12" s="76">
        <f>SUM(G6:G10)</f>
        <v>84700</v>
      </c>
      <c r="H12" s="76">
        <f>SUM(H6:H10)</f>
        <v>84700</v>
      </c>
      <c r="I12" s="76">
        <f>SUM(I6:I10)</f>
        <v>84700</v>
      </c>
      <c r="J12" s="76">
        <f>SUM(J6:J10)</f>
        <v>84700</v>
      </c>
      <c r="K12" s="76">
        <f>SUM(K6:K10)</f>
        <v>84700</v>
      </c>
      <c r="L12" s="76">
        <f>SUM(L6:L10)</f>
        <v>84700</v>
      </c>
      <c r="M12" s="76">
        <f>SUM(M6:M10)</f>
        <v>84700</v>
      </c>
      <c r="N12" s="76">
        <f>SUM(N6:N10)</f>
        <v>84700</v>
      </c>
      <c r="O12" s="76">
        <f>SUM(O6:O10)</f>
        <v>84700</v>
      </c>
      <c r="P12" s="76">
        <f>SUM(P6:P10)</f>
        <v>84700</v>
      </c>
      <c r="Q12" s="76">
        <f>SUM(Q6:Q10)</f>
        <v>84700</v>
      </c>
      <c r="R12" s="76">
        <f>SUM(R6:R10)</f>
        <v>84700</v>
      </c>
    </row>
    <row r="13" spans="1:18" ht="30.75" customHeight="1">
      <c r="A13" s="67" t="s">
        <v>138</v>
      </c>
      <c r="B13" s="67"/>
      <c r="C13" s="104"/>
      <c r="D13" s="58"/>
      <c r="E13" s="58"/>
      <c r="F13" s="94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</row>
    <row r="14" spans="1:18">
      <c r="C14" s="47"/>
      <c r="F14" s="91"/>
    </row>
    <row r="15" spans="1:18">
      <c r="A15">
        <v>15</v>
      </c>
      <c r="B15" t="s">
        <v>75</v>
      </c>
      <c r="C15" s="47"/>
      <c r="D15" s="1">
        <f>Annahmen!D54</f>
        <v>700</v>
      </c>
      <c r="E15" s="1">
        <f>Annahmen!H54</f>
        <v>10500</v>
      </c>
      <c r="F15" s="91">
        <v>46023</v>
      </c>
    </row>
    <row r="16" spans="1:18">
      <c r="A16" s="55"/>
      <c r="B16" s="55"/>
      <c r="C16" s="56"/>
      <c r="D16" s="55"/>
      <c r="E16" s="55"/>
      <c r="F16" s="92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</row>
    <row r="17" spans="1:18">
      <c r="A17" s="57"/>
      <c r="B17" s="70" t="s">
        <v>139</v>
      </c>
      <c r="C17" s="79"/>
      <c r="D17" s="57"/>
      <c r="E17" s="57"/>
      <c r="F17" s="93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</row>
    <row r="18" spans="1:18" ht="30" customHeight="1">
      <c r="A18" s="67" t="s">
        <v>140</v>
      </c>
      <c r="B18" s="67"/>
      <c r="C18" s="104"/>
      <c r="D18" s="58"/>
      <c r="E18" s="58"/>
      <c r="F18" s="94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</row>
    <row r="19" spans="1:18">
      <c r="B19" t="s">
        <v>141</v>
      </c>
      <c r="C19" s="47"/>
      <c r="F19" s="91"/>
      <c r="G19" s="7">
        <f>G12</f>
        <v>84700</v>
      </c>
      <c r="H19" s="7">
        <f>H12</f>
        <v>84700</v>
      </c>
      <c r="I19" s="7">
        <f>I12</f>
        <v>84700</v>
      </c>
      <c r="J19" s="7">
        <f>J12</f>
        <v>84700</v>
      </c>
      <c r="K19" s="7">
        <f>K12</f>
        <v>84700</v>
      </c>
      <c r="L19" s="7">
        <f>L12</f>
        <v>84700</v>
      </c>
      <c r="M19" s="7">
        <f>M12</f>
        <v>84700</v>
      </c>
      <c r="N19" s="7">
        <f>N12</f>
        <v>84700</v>
      </c>
      <c r="O19" s="7">
        <f>O12</f>
        <v>84700</v>
      </c>
      <c r="P19" s="7">
        <f>P12</f>
        <v>84700</v>
      </c>
      <c r="Q19" s="7">
        <f>Q12</f>
        <v>84700</v>
      </c>
      <c r="R19" s="7">
        <f>R12</f>
        <v>84700</v>
      </c>
    </row>
    <row r="20" spans="1:18">
      <c r="A20" s="55"/>
      <c r="B20" s="55" t="s">
        <v>142</v>
      </c>
      <c r="C20" s="80">
        <f>Annahmen!I48</f>
        <v>0.21999199999999999</v>
      </c>
      <c r="D20" s="55"/>
      <c r="E20" s="55"/>
      <c r="F20" s="92"/>
      <c r="G20" s="75">
        <f>G19*$C$20</f>
        <v>18633.322400000001</v>
      </c>
      <c r="H20" s="75">
        <f>H19*$C$20</f>
        <v>18633.322400000001</v>
      </c>
      <c r="I20" s="75">
        <f>I19*$C$20</f>
        <v>18633.322400000001</v>
      </c>
      <c r="J20" s="75">
        <f>J19*$C$20</f>
        <v>18633.322400000001</v>
      </c>
      <c r="K20" s="75">
        <f>K19*$C$20</f>
        <v>18633.322400000001</v>
      </c>
      <c r="L20" s="75">
        <f>L19*$C$20</f>
        <v>18633.322400000001</v>
      </c>
      <c r="M20" s="75">
        <f>M19*$C$20</f>
        <v>18633.322400000001</v>
      </c>
      <c r="N20" s="75">
        <f>N19*$C$20</f>
        <v>18633.322400000001</v>
      </c>
      <c r="O20" s="75">
        <f>O19*$C$20</f>
        <v>18633.322400000001</v>
      </c>
      <c r="P20" s="75">
        <f>P19*$C$20</f>
        <v>18633.322400000001</v>
      </c>
      <c r="Q20" s="75">
        <f>Q19*$C$20</f>
        <v>18633.322400000001</v>
      </c>
      <c r="R20" s="75">
        <f>R19*$C$20</f>
        <v>18633.322400000001</v>
      </c>
    </row>
    <row r="21" spans="1:18">
      <c r="A21" s="70"/>
      <c r="B21" s="70" t="s">
        <v>143</v>
      </c>
      <c r="C21" s="81"/>
      <c r="D21" s="70"/>
      <c r="E21" s="70"/>
      <c r="F21" s="95"/>
      <c r="G21" s="77">
        <f>SUM(G19:G20)</f>
        <v>103333.3224</v>
      </c>
      <c r="H21" s="77">
        <f>SUM(H19:H20)</f>
        <v>103333.3224</v>
      </c>
      <c r="I21" s="77">
        <f>SUM(I19:I20)</f>
        <v>103333.3224</v>
      </c>
      <c r="J21" s="77">
        <f>SUM(J19:J20)</f>
        <v>103333.3224</v>
      </c>
      <c r="K21" s="77">
        <f>SUM(K19:K20)</f>
        <v>103333.3224</v>
      </c>
      <c r="L21" s="77">
        <f>SUM(L19:L20)</f>
        <v>103333.3224</v>
      </c>
      <c r="M21" s="77">
        <f>SUM(M19:M20)</f>
        <v>103333.3224</v>
      </c>
      <c r="N21" s="77">
        <f>SUM(N19:N20)</f>
        <v>103333.3224</v>
      </c>
      <c r="O21" s="77">
        <f>SUM(O19:O20)</f>
        <v>103333.3224</v>
      </c>
      <c r="P21" s="77">
        <f>SUM(P19:P20)</f>
        <v>103333.3224</v>
      </c>
      <c r="Q21" s="77">
        <f>SUM(Q19:Q20)</f>
        <v>103333.3224</v>
      </c>
      <c r="R21" s="77">
        <f>SUM(R19:R20)</f>
        <v>103333.3224</v>
      </c>
    </row>
  </sheetData>
  <mergeCells count="4">
    <mergeCell ref="A4:C4"/>
    <mergeCell ref="E2:F3"/>
    <mergeCell ref="A13:C13"/>
    <mergeCell ref="A18:C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D23B-F649-4B7B-8294-937E0566E478}">
  <dimension ref="A1:N6"/>
  <sheetViews>
    <sheetView workbookViewId="0">
      <selection activeCell="J20" sqref="J20"/>
    </sheetView>
  </sheetViews>
  <sheetFormatPr defaultRowHeight="15"/>
  <cols>
    <col min="1" max="1" width="22" customWidth="1"/>
    <col min="2" max="2" width="9.28515625" style="69" bestFit="1" customWidth="1"/>
    <col min="3" max="13" width="9.28515625" style="40" bestFit="1" customWidth="1"/>
    <col min="14" max="14" width="9.140625" style="78"/>
  </cols>
  <sheetData>
    <row r="1" spans="1:14">
      <c r="B1" s="85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82" t="s">
        <v>109</v>
      </c>
    </row>
    <row r="2" spans="1:14" s="72" customFormat="1">
      <c r="A2" s="72" t="s">
        <v>144</v>
      </c>
      <c r="B2" s="86" t="s">
        <v>110</v>
      </c>
      <c r="C2" s="87" t="s">
        <v>111</v>
      </c>
      <c r="D2" s="87" t="s">
        <v>112</v>
      </c>
      <c r="E2" s="87" t="s">
        <v>113</v>
      </c>
      <c r="F2" s="87" t="s">
        <v>114</v>
      </c>
      <c r="G2" s="87" t="s">
        <v>115</v>
      </c>
      <c r="H2" s="87" t="s">
        <v>116</v>
      </c>
      <c r="I2" s="87" t="s">
        <v>117</v>
      </c>
      <c r="J2" s="87" t="s">
        <v>118</v>
      </c>
      <c r="K2" s="87" t="s">
        <v>119</v>
      </c>
      <c r="L2" s="87" t="s">
        <v>120</v>
      </c>
      <c r="M2" s="87" t="s">
        <v>121</v>
      </c>
      <c r="N2" s="82">
        <v>2025</v>
      </c>
    </row>
    <row r="3" spans="1:14">
      <c r="B3" s="85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82"/>
    </row>
    <row r="4" spans="1:14">
      <c r="A4" t="s">
        <v>130</v>
      </c>
      <c r="B4" s="88">
        <f>Annahmen!H60</f>
        <v>7.2999999999999995E-2</v>
      </c>
      <c r="C4" s="89">
        <f>Annahmen!I60</f>
        <v>6.0999999999999999E-2</v>
      </c>
      <c r="D4" s="89">
        <f>Annahmen!J60</f>
        <v>7.0000000000000007E-2</v>
      </c>
      <c r="E4" s="89">
        <f>Annahmen!K60</f>
        <v>6.4000000000000001E-2</v>
      </c>
      <c r="F4" s="89">
        <f>Annahmen!L60</f>
        <v>0.23699999999999999</v>
      </c>
      <c r="G4" s="89">
        <f>Annahmen!M60</f>
        <v>6.2E-2</v>
      </c>
      <c r="H4" s="89">
        <f>Annahmen!N60</f>
        <v>7.1999999999999995E-2</v>
      </c>
      <c r="I4" s="89">
        <f>Annahmen!O60</f>
        <v>6.0999999999999999E-2</v>
      </c>
      <c r="J4" s="89">
        <f>Annahmen!P60</f>
        <v>0.105</v>
      </c>
      <c r="K4" s="89">
        <f>Annahmen!Q60</f>
        <v>6.4000000000000001E-2</v>
      </c>
      <c r="L4" s="89">
        <f>Annahmen!R60</f>
        <v>7.0000000000000007E-2</v>
      </c>
      <c r="M4" s="89">
        <f>Annahmen!S60</f>
        <v>6.0999999999999999E-2</v>
      </c>
      <c r="N4" s="96">
        <f>SUM(B4:M4)</f>
        <v>1</v>
      </c>
    </row>
    <row r="5" spans="1:14">
      <c r="A5" s="5" t="s">
        <v>131</v>
      </c>
      <c r="B5" s="100">
        <f>$N$5/12</f>
        <v>3750</v>
      </c>
      <c r="C5" s="101">
        <f>$N$5/12</f>
        <v>3750</v>
      </c>
      <c r="D5" s="101">
        <f>$N$5/12</f>
        <v>3750</v>
      </c>
      <c r="E5" s="101">
        <f>$N$5/12</f>
        <v>3750</v>
      </c>
      <c r="F5" s="101">
        <f>$N$5/12</f>
        <v>3750</v>
      </c>
      <c r="G5" s="101">
        <f>$N$5/12</f>
        <v>3750</v>
      </c>
      <c r="H5" s="101">
        <f>$N$5/12</f>
        <v>3750</v>
      </c>
      <c r="I5" s="101">
        <f>$N$5/12</f>
        <v>3750</v>
      </c>
      <c r="J5" s="101">
        <f>$N$5/12</f>
        <v>3750</v>
      </c>
      <c r="K5" s="101">
        <f>$N$5/12</f>
        <v>3750</v>
      </c>
      <c r="L5" s="101">
        <f>$N$5/12</f>
        <v>3750</v>
      </c>
      <c r="M5" s="101">
        <f>$N$5/12</f>
        <v>3750</v>
      </c>
      <c r="N5" s="97">
        <f>Annahmen!E59</f>
        <v>45000</v>
      </c>
    </row>
    <row r="6" spans="1:14">
      <c r="A6" s="5" t="s">
        <v>83</v>
      </c>
      <c r="N6" s="97">
        <f>Annahmen!E60</f>
        <v>100000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90DA-86E1-4EDC-BA50-86DC068FB621}">
  <dimension ref="A1:N7"/>
  <sheetViews>
    <sheetView workbookViewId="0"/>
  </sheetViews>
  <sheetFormatPr defaultRowHeight="15"/>
  <cols>
    <col min="1" max="1" width="12" customWidth="1"/>
    <col min="2" max="2" width="9.140625" bestFit="1" customWidth="1"/>
  </cols>
  <sheetData>
    <row r="1" spans="1:14">
      <c r="B1" s="99" t="s">
        <v>145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1:14">
      <c r="B2" s="99" t="s">
        <v>146</v>
      </c>
      <c r="C2" s="98" t="s">
        <v>110</v>
      </c>
      <c r="D2" s="98" t="s">
        <v>111</v>
      </c>
      <c r="E2" s="98" t="s">
        <v>112</v>
      </c>
      <c r="F2" s="98" t="s">
        <v>113</v>
      </c>
      <c r="G2" s="98" t="s">
        <v>114</v>
      </c>
      <c r="H2" s="98" t="s">
        <v>115</v>
      </c>
      <c r="I2" s="98" t="s">
        <v>116</v>
      </c>
      <c r="J2" s="98" t="s">
        <v>117</v>
      </c>
      <c r="K2" s="98" t="s">
        <v>118</v>
      </c>
      <c r="L2" s="98" t="s">
        <v>119</v>
      </c>
      <c r="M2" s="98" t="s">
        <v>120</v>
      </c>
      <c r="N2" s="98" t="s">
        <v>121</v>
      </c>
    </row>
    <row r="4" spans="1:14">
      <c r="A4" s="71" t="s">
        <v>147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>
      <c r="A5" t="s">
        <v>148</v>
      </c>
    </row>
    <row r="6" spans="1:14">
      <c r="A6" t="s">
        <v>149</v>
      </c>
    </row>
    <row r="7" spans="1:14">
      <c r="A7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C39C-964A-4DC3-A590-AA68FCB0BC7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2025-12-18T08:44:58Z</dcterms:created>
  <dcterms:modified xsi:type="dcterms:W3CDTF">2025-12-18T11:31:08Z</dcterms:modified>
  <cp:category/>
  <cp:contentStatus/>
</cp:coreProperties>
</file>