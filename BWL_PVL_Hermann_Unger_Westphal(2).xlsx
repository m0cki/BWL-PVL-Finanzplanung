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1635" documentId="11_7C5055BF84DCCED36523F29B8631F45B3AF06663" xr6:coauthVersionLast="47" xr6:coauthVersionMax="47" xr10:uidLastSave="{0E0B485F-727A-4E06-8594-4D76DDF97C07}"/>
  <bookViews>
    <workbookView xWindow="240" yWindow="105" windowWidth="14805" windowHeight="8010" firstSheet="6" activeTab="6" xr2:uid="{00000000-000D-0000-FFFF-FFFF00000000}"/>
  </bookViews>
  <sheets>
    <sheet name="Annahmen" sheetId="1" r:id="rId1"/>
    <sheet name="GuV und Liquidität" sheetId="2" r:id="rId2"/>
    <sheet name="Bilanz" sheetId="4" r:id="rId3"/>
    <sheet name="Umsatz" sheetId="3" r:id="rId4"/>
    <sheet name="Personal" sheetId="5" r:id="rId5"/>
    <sheet name="Aufwand" sheetId="6" r:id="rId6"/>
    <sheet name="Kredit" sheetId="7" r:id="rId7"/>
    <sheet name="Investitionen" sheetId="8" r:id="rId8"/>
  </sheets>
  <definedNames>
    <definedName name="Hallo">Annahmen!$K$10:$K$10</definedName>
    <definedName name="Startjahr">Annahmen!$B$5:$B$5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6" l="1"/>
  <c r="Q6" i="6"/>
  <c r="R6" i="6"/>
  <c r="S6" i="6"/>
  <c r="T6" i="6"/>
  <c r="U6" i="6"/>
  <c r="V6" i="6"/>
  <c r="W6" i="6"/>
  <c r="X6" i="6"/>
  <c r="Y6" i="6"/>
  <c r="Z6" i="6"/>
  <c r="O6" i="6"/>
  <c r="P5" i="6"/>
  <c r="Q5" i="6"/>
  <c r="R5" i="6"/>
  <c r="S5" i="6"/>
  <c r="T5" i="6"/>
  <c r="U5" i="6"/>
  <c r="V5" i="6"/>
  <c r="W5" i="6"/>
  <c r="X5" i="6"/>
  <c r="Y5" i="6"/>
  <c r="Z5" i="6"/>
  <c r="O5" i="6"/>
  <c r="AA6" i="6"/>
  <c r="AA5" i="6"/>
  <c r="P4" i="6"/>
  <c r="Q4" i="6"/>
  <c r="R4" i="6"/>
  <c r="S4" i="6"/>
  <c r="T4" i="6"/>
  <c r="U4" i="6"/>
  <c r="V4" i="6"/>
  <c r="W4" i="6"/>
  <c r="X4" i="6"/>
  <c r="Y4" i="6"/>
  <c r="Z4" i="6"/>
  <c r="O4" i="6"/>
  <c r="AA4" i="6"/>
  <c r="BP12" i="7"/>
  <c r="CA11" i="7"/>
  <c r="BZ11" i="7"/>
  <c r="BY11" i="7"/>
  <c r="BX11" i="7"/>
  <c r="BW11" i="7"/>
  <c r="BV11" i="7"/>
  <c r="BU11" i="7"/>
  <c r="BT11" i="7"/>
  <c r="BS11" i="7"/>
  <c r="BR11" i="7"/>
  <c r="BQ11" i="7"/>
  <c r="BP11" i="7"/>
  <c r="BP6" i="7"/>
  <c r="CA5" i="7"/>
  <c r="CA16" i="7" s="1"/>
  <c r="BZ5" i="7"/>
  <c r="BZ16" i="7" s="1"/>
  <c r="BY5" i="7"/>
  <c r="BY16" i="7" s="1"/>
  <c r="BX5" i="7"/>
  <c r="BX16" i="7" s="1"/>
  <c r="BW5" i="7"/>
  <c r="BW16" i="7" s="1"/>
  <c r="BV5" i="7"/>
  <c r="BV16" i="7" s="1"/>
  <c r="BU5" i="7"/>
  <c r="BU16" i="7" s="1"/>
  <c r="BT5" i="7"/>
  <c r="BT16" i="7" s="1"/>
  <c r="BS5" i="7"/>
  <c r="BS16" i="7" s="1"/>
  <c r="BR5" i="7"/>
  <c r="BR16" i="7" s="1"/>
  <c r="BQ5" i="7"/>
  <c r="BQ16" i="7" s="1"/>
  <c r="BP5" i="7"/>
  <c r="BC12" i="7"/>
  <c r="BN11" i="7"/>
  <c r="BM11" i="7"/>
  <c r="BL11" i="7"/>
  <c r="BK11" i="7"/>
  <c r="BJ11" i="7"/>
  <c r="BI11" i="7"/>
  <c r="BH11" i="7"/>
  <c r="BG11" i="7"/>
  <c r="BF11" i="7"/>
  <c r="BE11" i="7"/>
  <c r="BD11" i="7"/>
  <c r="BC11" i="7"/>
  <c r="BC6" i="7"/>
  <c r="BN5" i="7"/>
  <c r="BN16" i="7" s="1"/>
  <c r="BM5" i="7"/>
  <c r="BM16" i="7" s="1"/>
  <c r="BL5" i="7"/>
  <c r="BL16" i="7" s="1"/>
  <c r="BK5" i="7"/>
  <c r="BK16" i="7" s="1"/>
  <c r="BJ5" i="7"/>
  <c r="BJ16" i="7" s="1"/>
  <c r="BI5" i="7"/>
  <c r="BI16" i="7" s="1"/>
  <c r="BH5" i="7"/>
  <c r="BH16" i="7" s="1"/>
  <c r="BG5" i="7"/>
  <c r="BG16" i="7" s="1"/>
  <c r="BF5" i="7"/>
  <c r="BF16" i="7" s="1"/>
  <c r="BE5" i="7"/>
  <c r="BE16" i="7" s="1"/>
  <c r="BD5" i="7"/>
  <c r="BD16" i="7" s="1"/>
  <c r="BC5" i="7"/>
  <c r="AP12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P6" i="7"/>
  <c r="BA5" i="7"/>
  <c r="BA16" i="7" s="1"/>
  <c r="AZ5" i="7"/>
  <c r="AZ16" i="7" s="1"/>
  <c r="AY5" i="7"/>
  <c r="AY16" i="7" s="1"/>
  <c r="AX5" i="7"/>
  <c r="AX16" i="7" s="1"/>
  <c r="AW5" i="7"/>
  <c r="AW16" i="7" s="1"/>
  <c r="AV5" i="7"/>
  <c r="AV16" i="7" s="1"/>
  <c r="AU5" i="7"/>
  <c r="AU16" i="7" s="1"/>
  <c r="AT5" i="7"/>
  <c r="AT16" i="7" s="1"/>
  <c r="AS5" i="7"/>
  <c r="AS16" i="7" s="1"/>
  <c r="AR5" i="7"/>
  <c r="AR16" i="7" s="1"/>
  <c r="AQ5" i="7"/>
  <c r="AQ16" i="7" s="1"/>
  <c r="AP5" i="7"/>
  <c r="AC12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C6" i="7"/>
  <c r="AN5" i="7"/>
  <c r="AN16" i="7" s="1"/>
  <c r="AM5" i="7"/>
  <c r="AM16" i="7" s="1"/>
  <c r="AL5" i="7"/>
  <c r="AL16" i="7" s="1"/>
  <c r="AK5" i="7"/>
  <c r="AK16" i="7" s="1"/>
  <c r="AJ5" i="7"/>
  <c r="AJ16" i="7" s="1"/>
  <c r="AI5" i="7"/>
  <c r="AI16" i="7" s="1"/>
  <c r="AH5" i="7"/>
  <c r="AH16" i="7" s="1"/>
  <c r="AG5" i="7"/>
  <c r="AG16" i="7" s="1"/>
  <c r="AF5" i="7"/>
  <c r="AF16" i="7" s="1"/>
  <c r="AE5" i="7"/>
  <c r="AE16" i="7" s="1"/>
  <c r="AD5" i="7"/>
  <c r="AD16" i="7" s="1"/>
  <c r="AC5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C18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C16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D14" i="7"/>
  <c r="E14" i="7"/>
  <c r="F14" i="7"/>
  <c r="G14" i="7"/>
  <c r="H14" i="7"/>
  <c r="I14" i="7"/>
  <c r="J14" i="7"/>
  <c r="K14" i="7"/>
  <c r="L14" i="7"/>
  <c r="M14" i="7"/>
  <c r="N14" i="7"/>
  <c r="C14" i="7"/>
  <c r="AB12" i="7"/>
  <c r="Q12" i="7"/>
  <c r="R12" i="7"/>
  <c r="S12" i="7"/>
  <c r="T12" i="7"/>
  <c r="U12" i="7"/>
  <c r="V12" i="7"/>
  <c r="W12" i="7"/>
  <c r="X12" i="7"/>
  <c r="Y12" i="7"/>
  <c r="Z12" i="7"/>
  <c r="AA12" i="7"/>
  <c r="P12" i="7"/>
  <c r="N12" i="7"/>
  <c r="Q13" i="7"/>
  <c r="R13" i="7"/>
  <c r="S13" i="7"/>
  <c r="T13" i="7"/>
  <c r="U13" i="7"/>
  <c r="V13" i="7"/>
  <c r="W13" i="7"/>
  <c r="X13" i="7"/>
  <c r="Y13" i="7"/>
  <c r="Z13" i="7"/>
  <c r="AA13" i="7"/>
  <c r="P13" i="7"/>
  <c r="AB13" i="7"/>
  <c r="AB11" i="7"/>
  <c r="Q11" i="7"/>
  <c r="R11" i="7"/>
  <c r="S11" i="7"/>
  <c r="T11" i="7"/>
  <c r="U11" i="7"/>
  <c r="V11" i="7"/>
  <c r="W11" i="7"/>
  <c r="X11" i="7"/>
  <c r="Y11" i="7"/>
  <c r="Z11" i="7"/>
  <c r="AA11" i="7"/>
  <c r="P11" i="7"/>
  <c r="O13" i="7"/>
  <c r="O12" i="7"/>
  <c r="D13" i="7"/>
  <c r="E13" i="7"/>
  <c r="F13" i="7"/>
  <c r="G13" i="7"/>
  <c r="H13" i="7"/>
  <c r="I13" i="7"/>
  <c r="J13" i="7"/>
  <c r="K13" i="7"/>
  <c r="L13" i="7"/>
  <c r="M13" i="7"/>
  <c r="N13" i="7"/>
  <c r="C7" i="7"/>
  <c r="C13" i="7"/>
  <c r="D12" i="7"/>
  <c r="E12" i="7"/>
  <c r="F12" i="7"/>
  <c r="G12" i="7"/>
  <c r="H12" i="7"/>
  <c r="I12" i="7"/>
  <c r="J12" i="7"/>
  <c r="K12" i="7"/>
  <c r="L12" i="7"/>
  <c r="M12" i="7"/>
  <c r="C12" i="7"/>
  <c r="C6" i="7"/>
  <c r="O11" i="7"/>
  <c r="D11" i="7"/>
  <c r="E11" i="7"/>
  <c r="F11" i="7"/>
  <c r="G11" i="7"/>
  <c r="H11" i="7"/>
  <c r="I11" i="7"/>
  <c r="J11" i="7"/>
  <c r="K11" i="7"/>
  <c r="L11" i="7"/>
  <c r="M11" i="7"/>
  <c r="N11" i="7"/>
  <c r="C11" i="7"/>
  <c r="B13" i="7"/>
  <c r="B11" i="7"/>
  <c r="B12" i="7"/>
  <c r="B7" i="7"/>
  <c r="B5" i="7"/>
  <c r="B6" i="7"/>
  <c r="C6" i="6"/>
  <c r="D6" i="6"/>
  <c r="E6" i="6"/>
  <c r="F6" i="6"/>
  <c r="G6" i="6"/>
  <c r="H6" i="6"/>
  <c r="I6" i="6"/>
  <c r="J6" i="6"/>
  <c r="K6" i="6"/>
  <c r="L6" i="6"/>
  <c r="M6" i="6"/>
  <c r="B6" i="6"/>
  <c r="N5" i="6"/>
  <c r="C4" i="6"/>
  <c r="D4" i="6"/>
  <c r="E4" i="6"/>
  <c r="F4" i="6"/>
  <c r="G4" i="6"/>
  <c r="H4" i="6"/>
  <c r="I4" i="6"/>
  <c r="J4" i="6"/>
  <c r="K4" i="6"/>
  <c r="L4" i="6"/>
  <c r="M4" i="6"/>
  <c r="P11" i="3"/>
  <c r="P12" i="3"/>
  <c r="B4" i="6"/>
  <c r="L61" i="1"/>
  <c r="K61" i="1"/>
  <c r="I61" i="1"/>
  <c r="H61" i="1"/>
  <c r="J61" i="1"/>
  <c r="M61" i="1"/>
  <c r="N61" i="1"/>
  <c r="O61" i="1"/>
  <c r="P61" i="1"/>
  <c r="Q61" i="1"/>
  <c r="R61" i="1"/>
  <c r="S61" i="1"/>
  <c r="C5" i="6"/>
  <c r="D5" i="6"/>
  <c r="E5" i="6"/>
  <c r="F5" i="6"/>
  <c r="G5" i="6"/>
  <c r="H5" i="6"/>
  <c r="I5" i="6"/>
  <c r="J5" i="6"/>
  <c r="K5" i="6"/>
  <c r="L5" i="6"/>
  <c r="M5" i="6"/>
  <c r="B5" i="6"/>
  <c r="N6" i="6"/>
  <c r="N4" i="6"/>
  <c r="E7" i="5"/>
  <c r="E8" i="5"/>
  <c r="E9" i="5"/>
  <c r="E10" i="5"/>
  <c r="E6" i="5"/>
  <c r="H10" i="5"/>
  <c r="I10" i="5"/>
  <c r="J10" i="5"/>
  <c r="K10" i="5"/>
  <c r="L10" i="5"/>
  <c r="M10" i="5"/>
  <c r="N10" i="5"/>
  <c r="O10" i="5"/>
  <c r="P10" i="5"/>
  <c r="Q10" i="5"/>
  <c r="R10" i="5"/>
  <c r="H9" i="5"/>
  <c r="I9" i="5"/>
  <c r="J9" i="5"/>
  <c r="K9" i="5"/>
  <c r="L9" i="5"/>
  <c r="M9" i="5"/>
  <c r="N9" i="5"/>
  <c r="O9" i="5"/>
  <c r="P9" i="5"/>
  <c r="Q9" i="5"/>
  <c r="R9" i="5"/>
  <c r="H8" i="5"/>
  <c r="I8" i="5"/>
  <c r="J8" i="5"/>
  <c r="K8" i="5"/>
  <c r="L8" i="5"/>
  <c r="M8" i="5"/>
  <c r="N8" i="5"/>
  <c r="O8" i="5"/>
  <c r="P8" i="5"/>
  <c r="Q8" i="5"/>
  <c r="R8" i="5"/>
  <c r="H7" i="5"/>
  <c r="I7" i="5"/>
  <c r="J7" i="5"/>
  <c r="K7" i="5"/>
  <c r="L7" i="5"/>
  <c r="M7" i="5"/>
  <c r="N7" i="5"/>
  <c r="O7" i="5"/>
  <c r="P7" i="5"/>
  <c r="Q7" i="5"/>
  <c r="R7" i="5"/>
  <c r="H6" i="5"/>
  <c r="I6" i="5"/>
  <c r="J6" i="5"/>
  <c r="K6" i="5"/>
  <c r="L6" i="5"/>
  <c r="M6" i="5"/>
  <c r="N6" i="5"/>
  <c r="O6" i="5"/>
  <c r="P6" i="5"/>
  <c r="Q6" i="5"/>
  <c r="R6" i="5"/>
  <c r="C20" i="5"/>
  <c r="E15" i="5"/>
  <c r="D15" i="5"/>
  <c r="H12" i="5"/>
  <c r="H19" i="5" s="1"/>
  <c r="I12" i="5"/>
  <c r="I19" i="5" s="1"/>
  <c r="J12" i="5"/>
  <c r="J19" i="5" s="1"/>
  <c r="K12" i="5"/>
  <c r="K19" i="5" s="1"/>
  <c r="L12" i="5"/>
  <c r="L19" i="5" s="1"/>
  <c r="M12" i="5"/>
  <c r="M19" i="5" s="1"/>
  <c r="N12" i="5"/>
  <c r="N19" i="5" s="1"/>
  <c r="O12" i="5"/>
  <c r="O19" i="5" s="1"/>
  <c r="P12" i="5"/>
  <c r="P19" i="5" s="1"/>
  <c r="Q12" i="5"/>
  <c r="Q19" i="5" s="1"/>
  <c r="R12" i="5"/>
  <c r="R19" i="5" s="1"/>
  <c r="G6" i="5"/>
  <c r="G7" i="5"/>
  <c r="G8" i="5"/>
  <c r="G9" i="5"/>
  <c r="G10" i="5"/>
  <c r="AA6" i="3"/>
  <c r="D7" i="5"/>
  <c r="D8" i="5"/>
  <c r="D9" i="5"/>
  <c r="D10" i="5"/>
  <c r="D6" i="5"/>
  <c r="N6" i="3"/>
  <c r="C7" i="5"/>
  <c r="C8" i="5"/>
  <c r="C9" i="5"/>
  <c r="C10" i="5"/>
  <c r="C6" i="5"/>
  <c r="A10" i="5"/>
  <c r="A9" i="5"/>
  <c r="A8" i="5"/>
  <c r="A7" i="5"/>
  <c r="G2" i="5"/>
  <c r="F73" i="1"/>
  <c r="F66" i="1"/>
  <c r="F69" i="1"/>
  <c r="F74" i="1"/>
  <c r="F72" i="1"/>
  <c r="F70" i="1"/>
  <c r="E73" i="1"/>
  <c r="E74" i="1"/>
  <c r="E69" i="1"/>
  <c r="E66" i="1"/>
  <c r="K54" i="1"/>
  <c r="K50" i="1"/>
  <c r="K52" i="1"/>
  <c r="K53" i="1"/>
  <c r="J50" i="1"/>
  <c r="J52" i="1"/>
  <c r="J53" i="1"/>
  <c r="J54" i="1"/>
  <c r="K49" i="1"/>
  <c r="J49" i="1"/>
  <c r="H54" i="1"/>
  <c r="H49" i="1"/>
  <c r="G50" i="1"/>
  <c r="G49" i="1"/>
  <c r="F60" i="1"/>
  <c r="F59" i="1"/>
  <c r="E59" i="1"/>
  <c r="H50" i="1"/>
  <c r="H51" i="1"/>
  <c r="K51" i="1" s="1"/>
  <c r="K55" i="1" s="1"/>
  <c r="H52" i="1"/>
  <c r="H53" i="1"/>
  <c r="D82" i="1"/>
  <c r="D87" i="1"/>
  <c r="G51" i="1"/>
  <c r="J51" i="1" s="1"/>
  <c r="G52" i="1"/>
  <c r="G53" i="1"/>
  <c r="C16" i="1"/>
  <c r="C20" i="1"/>
  <c r="K33" i="1"/>
  <c r="E33" i="1"/>
  <c r="F43" i="1"/>
  <c r="E43" i="1"/>
  <c r="F41" i="1"/>
  <c r="E41" i="1"/>
  <c r="D54" i="1"/>
  <c r="E50" i="1"/>
  <c r="E51" i="1"/>
  <c r="E52" i="1"/>
  <c r="E53" i="1"/>
  <c r="E49" i="1"/>
  <c r="I33" i="1"/>
  <c r="L33" i="1" s="1"/>
  <c r="I31" i="1"/>
  <c r="L31" i="1" s="1"/>
  <c r="I32" i="1"/>
  <c r="L32" i="1" s="1"/>
  <c r="I30" i="1"/>
  <c r="C22" i="1"/>
  <c r="C21" i="1"/>
  <c r="C23" i="1"/>
  <c r="C19" i="1"/>
  <c r="BP16" i="7" l="1"/>
  <c r="BP7" i="7"/>
  <c r="CB5" i="7"/>
  <c r="BP14" i="7"/>
  <c r="BP13" i="7"/>
  <c r="CB11" i="7"/>
  <c r="BC16" i="7"/>
  <c r="BC7" i="7"/>
  <c r="BO5" i="7"/>
  <c r="BC14" i="7"/>
  <c r="BC13" i="7"/>
  <c r="BO11" i="7"/>
  <c r="AP16" i="7"/>
  <c r="AP7" i="7"/>
  <c r="BB5" i="7"/>
  <c r="AP14" i="7"/>
  <c r="AP13" i="7"/>
  <c r="BB11" i="7"/>
  <c r="AC16" i="7"/>
  <c r="AC7" i="7"/>
  <c r="AO5" i="7"/>
  <c r="AC14" i="7"/>
  <c r="AC13" i="7"/>
  <c r="AO11" i="7"/>
  <c r="AA5" i="7"/>
  <c r="Z5" i="7"/>
  <c r="Y5" i="7"/>
  <c r="X5" i="7"/>
  <c r="W5" i="7"/>
  <c r="V5" i="7"/>
  <c r="U5" i="7"/>
  <c r="T5" i="7"/>
  <c r="S5" i="7"/>
  <c r="R5" i="7"/>
  <c r="Q5" i="7"/>
  <c r="P5" i="7"/>
  <c r="AB5" i="7" s="1"/>
  <c r="D5" i="7"/>
  <c r="E5" i="7"/>
  <c r="F5" i="7"/>
  <c r="G5" i="7"/>
  <c r="H5" i="7"/>
  <c r="I5" i="7"/>
  <c r="J5" i="7"/>
  <c r="K5" i="7"/>
  <c r="L5" i="7"/>
  <c r="M5" i="7"/>
  <c r="N5" i="7"/>
  <c r="C5" i="7"/>
  <c r="C6" i="3"/>
  <c r="D6" i="3"/>
  <c r="E6" i="3"/>
  <c r="F6" i="3"/>
  <c r="G6" i="3"/>
  <c r="H6" i="3"/>
  <c r="I6" i="3"/>
  <c r="J6" i="3"/>
  <c r="K6" i="3"/>
  <c r="L6" i="3"/>
  <c r="M6" i="3"/>
  <c r="B6" i="3"/>
  <c r="P6" i="3"/>
  <c r="Q6" i="3"/>
  <c r="R6" i="3"/>
  <c r="S6" i="3"/>
  <c r="T6" i="3"/>
  <c r="U6" i="3"/>
  <c r="V6" i="3"/>
  <c r="W6" i="3"/>
  <c r="X6" i="3"/>
  <c r="Y6" i="3"/>
  <c r="Z6" i="3"/>
  <c r="O6" i="3"/>
  <c r="D10" i="3"/>
  <c r="E10" i="3"/>
  <c r="F10" i="3"/>
  <c r="G10" i="3"/>
  <c r="H10" i="3"/>
  <c r="I10" i="3"/>
  <c r="J10" i="3"/>
  <c r="K10" i="3"/>
  <c r="L10" i="3"/>
  <c r="M10" i="3"/>
  <c r="N10" i="3"/>
  <c r="O10" i="3"/>
  <c r="G12" i="5"/>
  <c r="G19" i="5" s="1"/>
  <c r="G20" i="5"/>
  <c r="G21" i="5" s="1"/>
  <c r="R20" i="5"/>
  <c r="R21" i="5"/>
  <c r="Q20" i="5"/>
  <c r="Q21" i="5"/>
  <c r="P20" i="5"/>
  <c r="P21" i="5"/>
  <c r="O20" i="5"/>
  <c r="O21" i="5"/>
  <c r="N20" i="5"/>
  <c r="N21" i="5"/>
  <c r="M20" i="5"/>
  <c r="M21" i="5"/>
  <c r="L20" i="5"/>
  <c r="L21" i="5"/>
  <c r="K20" i="5"/>
  <c r="K21" i="5"/>
  <c r="J20" i="5"/>
  <c r="J21" i="5"/>
  <c r="I20" i="5"/>
  <c r="I21" i="5"/>
  <c r="H20" i="5"/>
  <c r="H21" i="5"/>
  <c r="J55" i="1"/>
  <c r="L30" i="1"/>
  <c r="I34" i="1"/>
  <c r="BQ13" i="7" l="1"/>
  <c r="BQ12" i="7"/>
  <c r="CB16" i="7"/>
  <c r="BP18" i="7"/>
  <c r="BQ7" i="7"/>
  <c r="BQ6" i="7"/>
  <c r="BD13" i="7"/>
  <c r="BD12" i="7"/>
  <c r="BO16" i="7"/>
  <c r="BC18" i="7"/>
  <c r="BD7" i="7"/>
  <c r="BD6" i="7"/>
  <c r="AQ13" i="7"/>
  <c r="AQ12" i="7"/>
  <c r="BB16" i="7"/>
  <c r="AP18" i="7"/>
  <c r="AQ7" i="7"/>
  <c r="AQ6" i="7"/>
  <c r="AD13" i="7"/>
  <c r="AD12" i="7"/>
  <c r="AO16" i="7"/>
  <c r="AC18" i="7"/>
  <c r="AD7" i="7"/>
  <c r="AD6" i="7"/>
  <c r="O5" i="7"/>
  <c r="P10" i="3"/>
  <c r="I35" i="1"/>
  <c r="I37" i="1" s="1"/>
  <c r="E42" i="1" s="1"/>
  <c r="L34" i="1"/>
  <c r="L35" i="1" s="1"/>
  <c r="L37" i="1" s="1"/>
  <c r="F42" i="1" s="1"/>
  <c r="F44" i="1" s="1"/>
  <c r="F46" i="1" s="1"/>
  <c r="E44" i="1"/>
  <c r="E46" i="1" s="1"/>
  <c r="BQ14" i="7" l="1"/>
  <c r="BQ18" i="7"/>
  <c r="BR7" i="7"/>
  <c r="BR6" i="7"/>
  <c r="BR13" i="7"/>
  <c r="BR12" i="7"/>
  <c r="BD14" i="7"/>
  <c r="BD18" i="7"/>
  <c r="BE7" i="7"/>
  <c r="BE6" i="7"/>
  <c r="BE13" i="7"/>
  <c r="BE12" i="7"/>
  <c r="AQ14" i="7"/>
  <c r="AQ18" i="7"/>
  <c r="AR7" i="7"/>
  <c r="AR6" i="7"/>
  <c r="AR13" i="7"/>
  <c r="AR12" i="7"/>
  <c r="AD14" i="7"/>
  <c r="AD18" i="7"/>
  <c r="AE7" i="7"/>
  <c r="AE6" i="7"/>
  <c r="AE13" i="7"/>
  <c r="AE12" i="7"/>
  <c r="D7" i="7"/>
  <c r="D6" i="7"/>
  <c r="BS13" i="7" l="1"/>
  <c r="BS12" i="7"/>
  <c r="BR14" i="7"/>
  <c r="BR18" i="7"/>
  <c r="BS7" i="7"/>
  <c r="BS6" i="7"/>
  <c r="BF13" i="7"/>
  <c r="BF12" i="7"/>
  <c r="BE14" i="7"/>
  <c r="BE18" i="7"/>
  <c r="BF7" i="7"/>
  <c r="BF6" i="7"/>
  <c r="AS13" i="7"/>
  <c r="AS12" i="7"/>
  <c r="AR14" i="7"/>
  <c r="AR18" i="7"/>
  <c r="AS7" i="7"/>
  <c r="AS6" i="7"/>
  <c r="AF13" i="7"/>
  <c r="AF12" i="7"/>
  <c r="AE14" i="7"/>
  <c r="AE18" i="7"/>
  <c r="AF7" i="7"/>
  <c r="AF6" i="7"/>
  <c r="E7" i="7"/>
  <c r="E6" i="7"/>
  <c r="BS14" i="7" l="1"/>
  <c r="BS18" i="7"/>
  <c r="BT7" i="7"/>
  <c r="BT6" i="7"/>
  <c r="BT13" i="7"/>
  <c r="BT12" i="7"/>
  <c r="BF14" i="7"/>
  <c r="BF18" i="7"/>
  <c r="BG7" i="7"/>
  <c r="BG6" i="7"/>
  <c r="BG13" i="7"/>
  <c r="BG12" i="7"/>
  <c r="AS14" i="7"/>
  <c r="AS18" i="7"/>
  <c r="AT7" i="7"/>
  <c r="AT6" i="7"/>
  <c r="AT13" i="7"/>
  <c r="AT12" i="7"/>
  <c r="AF14" i="7"/>
  <c r="AF18" i="7"/>
  <c r="AG7" i="7"/>
  <c r="AG6" i="7"/>
  <c r="AG13" i="7"/>
  <c r="AG12" i="7"/>
  <c r="F7" i="7"/>
  <c r="F6" i="7"/>
  <c r="BU13" i="7" l="1"/>
  <c r="BU12" i="7"/>
  <c r="BT14" i="7"/>
  <c r="BT18" i="7"/>
  <c r="BU7" i="7"/>
  <c r="BU6" i="7"/>
  <c r="BH13" i="7"/>
  <c r="BH12" i="7"/>
  <c r="BG14" i="7"/>
  <c r="BG18" i="7"/>
  <c r="BH7" i="7"/>
  <c r="BH6" i="7"/>
  <c r="AU13" i="7"/>
  <c r="AU12" i="7"/>
  <c r="AT14" i="7"/>
  <c r="AT18" i="7"/>
  <c r="AU7" i="7"/>
  <c r="AU6" i="7"/>
  <c r="AH13" i="7"/>
  <c r="AH12" i="7"/>
  <c r="AG14" i="7"/>
  <c r="AG18" i="7"/>
  <c r="AH7" i="7"/>
  <c r="AH6" i="7"/>
  <c r="G7" i="7"/>
  <c r="G6" i="7"/>
  <c r="BU14" i="7" l="1"/>
  <c r="BU18" i="7"/>
  <c r="BV7" i="7"/>
  <c r="BV6" i="7"/>
  <c r="BV13" i="7"/>
  <c r="BV12" i="7"/>
  <c r="BH14" i="7"/>
  <c r="BH18" i="7"/>
  <c r="BI7" i="7"/>
  <c r="BI6" i="7"/>
  <c r="BI13" i="7"/>
  <c r="BI12" i="7"/>
  <c r="AU14" i="7"/>
  <c r="AU18" i="7"/>
  <c r="AV7" i="7"/>
  <c r="AV6" i="7"/>
  <c r="AV13" i="7"/>
  <c r="AV12" i="7"/>
  <c r="AH14" i="7"/>
  <c r="AH18" i="7"/>
  <c r="AI7" i="7"/>
  <c r="AI6" i="7"/>
  <c r="AI13" i="7"/>
  <c r="AI12" i="7"/>
  <c r="H7" i="7"/>
  <c r="H6" i="7"/>
  <c r="BW13" i="7" l="1"/>
  <c r="BW12" i="7"/>
  <c r="BV14" i="7"/>
  <c r="BV18" i="7"/>
  <c r="BW7" i="7"/>
  <c r="BW6" i="7"/>
  <c r="BJ13" i="7"/>
  <c r="BJ12" i="7"/>
  <c r="BI14" i="7"/>
  <c r="BI18" i="7"/>
  <c r="BJ7" i="7"/>
  <c r="BJ6" i="7"/>
  <c r="AW13" i="7"/>
  <c r="AW12" i="7"/>
  <c r="AV14" i="7"/>
  <c r="AV18" i="7"/>
  <c r="AW7" i="7"/>
  <c r="AW6" i="7"/>
  <c r="AJ13" i="7"/>
  <c r="AJ12" i="7"/>
  <c r="AI14" i="7"/>
  <c r="AI18" i="7"/>
  <c r="AJ7" i="7"/>
  <c r="AJ6" i="7"/>
  <c r="I7" i="7"/>
  <c r="I6" i="7"/>
  <c r="BW14" i="7" l="1"/>
  <c r="BW18" i="7"/>
  <c r="BX7" i="7"/>
  <c r="BX6" i="7"/>
  <c r="BX13" i="7"/>
  <c r="BX12" i="7"/>
  <c r="BJ14" i="7"/>
  <c r="BJ18" i="7"/>
  <c r="BK7" i="7"/>
  <c r="BK6" i="7"/>
  <c r="BK13" i="7"/>
  <c r="BK12" i="7"/>
  <c r="AW14" i="7"/>
  <c r="AW18" i="7"/>
  <c r="AX7" i="7"/>
  <c r="AX6" i="7"/>
  <c r="AX13" i="7"/>
  <c r="AX12" i="7"/>
  <c r="AJ14" i="7"/>
  <c r="AJ18" i="7"/>
  <c r="AK7" i="7"/>
  <c r="AK6" i="7"/>
  <c r="AK13" i="7"/>
  <c r="AK12" i="7"/>
  <c r="J7" i="7"/>
  <c r="J6" i="7"/>
  <c r="BY13" i="7" l="1"/>
  <c r="BY12" i="7"/>
  <c r="BX14" i="7"/>
  <c r="BX18" i="7"/>
  <c r="BY7" i="7"/>
  <c r="BY6" i="7"/>
  <c r="BL13" i="7"/>
  <c r="BL12" i="7"/>
  <c r="BK14" i="7"/>
  <c r="BK18" i="7"/>
  <c r="BL7" i="7"/>
  <c r="BL6" i="7"/>
  <c r="AY13" i="7"/>
  <c r="AY12" i="7"/>
  <c r="AX14" i="7"/>
  <c r="AX18" i="7"/>
  <c r="AY7" i="7"/>
  <c r="AY6" i="7"/>
  <c r="AL13" i="7"/>
  <c r="AL12" i="7"/>
  <c r="AK14" i="7"/>
  <c r="AK18" i="7"/>
  <c r="AL7" i="7"/>
  <c r="AL6" i="7"/>
  <c r="K7" i="7"/>
  <c r="K6" i="7"/>
  <c r="BY14" i="7" l="1"/>
  <c r="BY18" i="7"/>
  <c r="BZ7" i="7"/>
  <c r="BZ6" i="7"/>
  <c r="BZ13" i="7"/>
  <c r="BZ12" i="7"/>
  <c r="BL14" i="7"/>
  <c r="BL18" i="7"/>
  <c r="BM7" i="7"/>
  <c r="BM6" i="7"/>
  <c r="BM13" i="7"/>
  <c r="BM12" i="7"/>
  <c r="AY14" i="7"/>
  <c r="AY18" i="7"/>
  <c r="AZ7" i="7"/>
  <c r="AZ6" i="7"/>
  <c r="AZ13" i="7"/>
  <c r="AZ12" i="7"/>
  <c r="AL14" i="7"/>
  <c r="AL18" i="7"/>
  <c r="AM7" i="7"/>
  <c r="AM6" i="7"/>
  <c r="AM13" i="7"/>
  <c r="AM12" i="7"/>
  <c r="L7" i="7"/>
  <c r="L6" i="7"/>
  <c r="CA13" i="7" l="1"/>
  <c r="CB13" i="7" s="1"/>
  <c r="CA12" i="7"/>
  <c r="CB12" i="7" s="1"/>
  <c r="BZ14" i="7"/>
  <c r="BZ18" i="7"/>
  <c r="CA7" i="7"/>
  <c r="CA6" i="7"/>
  <c r="BN13" i="7"/>
  <c r="BO13" i="7" s="1"/>
  <c r="BN12" i="7"/>
  <c r="BO12" i="7" s="1"/>
  <c r="BM14" i="7"/>
  <c r="BM18" i="7"/>
  <c r="BN7" i="7"/>
  <c r="BN6" i="7"/>
  <c r="BA13" i="7"/>
  <c r="BB13" i="7" s="1"/>
  <c r="BA12" i="7"/>
  <c r="BB12" i="7" s="1"/>
  <c r="AZ14" i="7"/>
  <c r="AZ18" i="7"/>
  <c r="BA7" i="7"/>
  <c r="BA6" i="7"/>
  <c r="AN13" i="7"/>
  <c r="AO13" i="7" s="1"/>
  <c r="AN12" i="7"/>
  <c r="AO12" i="7" s="1"/>
  <c r="AM14" i="7"/>
  <c r="AM18" i="7"/>
  <c r="AN7" i="7"/>
  <c r="AN6" i="7"/>
  <c r="M7" i="7"/>
  <c r="M6" i="7"/>
  <c r="CA14" i="7" l="1"/>
  <c r="CB6" i="7"/>
  <c r="CB14" i="7" s="1"/>
  <c r="CA18" i="7"/>
  <c r="CB7" i="7"/>
  <c r="CB18" i="7" s="1"/>
  <c r="BN14" i="7"/>
  <c r="BO6" i="7"/>
  <c r="BO14" i="7" s="1"/>
  <c r="BN18" i="7"/>
  <c r="BO7" i="7"/>
  <c r="BO18" i="7" s="1"/>
  <c r="BA14" i="7"/>
  <c r="BB6" i="7"/>
  <c r="BB14" i="7" s="1"/>
  <c r="BA18" i="7"/>
  <c r="BB7" i="7"/>
  <c r="BB18" i="7" s="1"/>
  <c r="AN14" i="7"/>
  <c r="AO6" i="7"/>
  <c r="AO14" i="7" s="1"/>
  <c r="AN18" i="7"/>
  <c r="AO7" i="7"/>
  <c r="AO18" i="7" s="1"/>
  <c r="N7" i="7"/>
  <c r="O7" i="7" s="1"/>
  <c r="N6" i="7"/>
  <c r="O6" i="7" s="1"/>
  <c r="P6" i="7" l="1"/>
  <c r="P7" i="7"/>
  <c r="Q6" i="7" l="1"/>
  <c r="Q7" i="7"/>
  <c r="R6" i="7" l="1"/>
  <c r="R7" i="7"/>
  <c r="S6" i="7" l="1"/>
  <c r="S7" i="7"/>
  <c r="T6" i="7" l="1"/>
  <c r="T7" i="7"/>
  <c r="U6" i="7" l="1"/>
  <c r="U7" i="7"/>
  <c r="V6" i="7" l="1"/>
  <c r="V7" i="7"/>
  <c r="W6" i="7" l="1"/>
  <c r="W7" i="7"/>
  <c r="X6" i="7" l="1"/>
  <c r="X7" i="7"/>
  <c r="Y6" i="7" l="1"/>
  <c r="Y7" i="7"/>
  <c r="Z6" i="7" l="1"/>
  <c r="Z7" i="7"/>
  <c r="AA6" i="7" l="1"/>
  <c r="AB6" i="7" s="1"/>
  <c r="AA7" i="7"/>
  <c r="AB7" i="7" s="1"/>
</calcChain>
</file>

<file path=xl/sharedStrings.xml><?xml version="1.0" encoding="utf-8"?>
<sst xmlns="http://schemas.openxmlformats.org/spreadsheetml/2006/main" count="312" uniqueCount="154">
  <si>
    <t>ANNAHMEN:</t>
  </si>
  <si>
    <t>Statisches Eingabefeld</t>
  </si>
  <si>
    <t>Finanz- und Liquiditätsplanung</t>
  </si>
  <si>
    <t>Variables Eingabefeld</t>
  </si>
  <si>
    <t>Verknüpfung mit grünes Feld</t>
  </si>
  <si>
    <t>Startjahr</t>
  </si>
  <si>
    <t>Ausgangsposition</t>
  </si>
  <si>
    <t>Veränderungen</t>
  </si>
  <si>
    <t>Folgejahr</t>
  </si>
  <si>
    <t>Variable:</t>
  </si>
  <si>
    <t>Investitionskredit</t>
  </si>
  <si>
    <t>Ratenkredit</t>
  </si>
  <si>
    <t>die unten</t>
  </si>
  <si>
    <t>Betriebsmittelkredit</t>
  </si>
  <si>
    <t>orange</t>
  </si>
  <si>
    <t>mtl. Gehaltserhöhung ab Folgejahr für Informatiker:innen</t>
  </si>
  <si>
    <t>hinterlegten</t>
  </si>
  <si>
    <t>Kapazitätsauslastung</t>
  </si>
  <si>
    <t>Felder</t>
  </si>
  <si>
    <t>Netto-Stundensatz beim Kunden</t>
  </si>
  <si>
    <t>nehmen</t>
  </si>
  <si>
    <t>Anzahl Krankheitstage pro Informatiker:in</t>
  </si>
  <si>
    <t>hier auf Bezug</t>
  </si>
  <si>
    <t>Weitere Investitionen</t>
  </si>
  <si>
    <t>Server im Folgejahr</t>
  </si>
  <si>
    <t>Kredit</t>
  </si>
  <si>
    <t>Zinsatz p.a.</t>
  </si>
  <si>
    <t>Laufzeit</t>
  </si>
  <si>
    <t>Rate monatlich</t>
  </si>
  <si>
    <t>zur Vereinfachung werden hier nur Bankkredite und keine Anultitätsdahrlen verwendet</t>
  </si>
  <si>
    <t>Steuersatz für KöSt./GewSt.</t>
  </si>
  <si>
    <t>Veränderung</t>
  </si>
  <si>
    <t>verechenbare</t>
  </si>
  <si>
    <t>Wer erbringt die mit dem Kunden verechenbare Leistung? ==&gt; gesucht sind die jährlich verechenbaren Stunden pro Vollzeit Informatiker:in</t>
  </si>
  <si>
    <t>Krankheitstage</t>
  </si>
  <si>
    <t>Stunden</t>
  </si>
  <si>
    <t>Ausgangspunkt</t>
  </si>
  <si>
    <t>Wochen</t>
  </si>
  <si>
    <t>Tage</t>
  </si>
  <si>
    <t>Feiertage</t>
  </si>
  <si>
    <t>Urlaub</t>
  </si>
  <si>
    <t>Krankheit etc.</t>
  </si>
  <si>
    <t>verfügbare Stunden / Informatiker</t>
  </si>
  <si>
    <t>nicht verreschenbare Stunden (E-Mails, Sitzungen, Telefonate, Recherche, Fehlerbehebung, etc.)</t>
  </si>
  <si>
    <t>Verreschenbare Stunden</t>
  </si>
  <si>
    <t>Kapazität</t>
  </si>
  <si>
    <t>Stunden p.a.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</si>
  <si>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</si>
  <si>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</si>
  <si>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</si>
  <si>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</si>
  <si>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</si>
  <si>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</si>
  <si>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</si>
  <si>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</si>
  <si>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</si>
  <si>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</si>
  <si>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</si>
  <si>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</si>
  <si>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Umsatz</t>
  </si>
  <si>
    <t>Stundensatz</t>
  </si>
  <si>
    <t>verrechnbare Stunden</t>
  </si>
  <si>
    <t>Auslastung</t>
  </si>
  <si>
    <t>geplante Auslastung</t>
  </si>
  <si>
    <t>Anzahl Informatiker:in</t>
  </si>
  <si>
    <t>Jahresumsatz</t>
  </si>
  <si>
    <t>Beginn</t>
  </si>
  <si>
    <t>SV</t>
  </si>
  <si>
    <t>Personalaufwand</t>
  </si>
  <si>
    <t>Geschäftsführung</t>
  </si>
  <si>
    <t>Monate</t>
  </si>
  <si>
    <t>Buchhaltung</t>
  </si>
  <si>
    <t>Assistenz</t>
  </si>
  <si>
    <t>Technik</t>
  </si>
  <si>
    <t>Informatiker</t>
  </si>
  <si>
    <t>Gehaltserhöhung</t>
  </si>
  <si>
    <t>Summe Personalaufwand</t>
  </si>
  <si>
    <t>mrz</t>
  </si>
  <si>
    <t>mai</t>
  </si>
  <si>
    <t>okt</t>
  </si>
  <si>
    <t>dez</t>
  </si>
  <si>
    <t>Betrieblicher Aufwand</t>
  </si>
  <si>
    <t>Miete incl. Nebenkosten</t>
  </si>
  <si>
    <t>so. Aufwand</t>
  </si>
  <si>
    <t>Investitionen</t>
  </si>
  <si>
    <t>Auszahlungen</t>
  </si>
  <si>
    <t>PC/Drucker</t>
  </si>
  <si>
    <t>Nutzungsdauer</t>
  </si>
  <si>
    <t>Abschreibungen</t>
  </si>
  <si>
    <t>Auszahlung</t>
  </si>
  <si>
    <t>Büroausstattung</t>
  </si>
  <si>
    <t>Anschreibungen</t>
  </si>
  <si>
    <t>Server</t>
  </si>
  <si>
    <t>Abschreibung</t>
  </si>
  <si>
    <t>Summe Auszahlungen</t>
  </si>
  <si>
    <t>Summe Abschreibungen</t>
  </si>
  <si>
    <t>Bilanz</t>
  </si>
  <si>
    <t>Anlagenvermögen</t>
  </si>
  <si>
    <t>Umlaufvermögen</t>
  </si>
  <si>
    <t>Forderungen</t>
  </si>
  <si>
    <t>Kasse</t>
  </si>
  <si>
    <t>Bilanzsumme</t>
  </si>
  <si>
    <t>Eigenkapital</t>
  </si>
  <si>
    <t>Stammkapital</t>
  </si>
  <si>
    <t>Gewinnvortrag</t>
  </si>
  <si>
    <t>Jahresabschluss</t>
  </si>
  <si>
    <t>k. Ausschüttung</t>
  </si>
  <si>
    <t>Fremdkapital</t>
  </si>
  <si>
    <t>Verbindlichkeiten L&amp;L</t>
  </si>
  <si>
    <t>Gesamt</t>
  </si>
  <si>
    <t>Jan</t>
  </si>
  <si>
    <t>Feb</t>
  </si>
  <si>
    <t>Mrz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</si>
  <si>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</si>
  <si>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</si>
  <si>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</si>
  <si>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</si>
  <si>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</si>
  <si>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</si>
  <si>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</si>
  <si>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</si>
  <si>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</si>
  <si>
    <t>Umsatzverteilung</t>
  </si>
  <si>
    <t>Umsatzerlös Gesamt</t>
  </si>
  <si>
    <t>GESAMT</t>
  </si>
  <si>
    <t>Nettobeträge</t>
  </si>
  <si>
    <t>Mar</t>
  </si>
  <si>
    <t>May</t>
  </si>
  <si>
    <t>Oct</t>
  </si>
  <si>
    <t>Dec</t>
  </si>
  <si>
    <t>Verteilung so. Aufwand</t>
  </si>
  <si>
    <t>Miete</t>
  </si>
  <si>
    <t>(in Euro)</t>
  </si>
  <si>
    <t>Bruttogehalt beginn</t>
  </si>
  <si>
    <t>Bestand</t>
  </si>
  <si>
    <t>Geschäftsfürhrung</t>
  </si>
  <si>
    <t>Techniker</t>
  </si>
  <si>
    <t>Gesamt - Bestand</t>
  </si>
  <si>
    <t>Neu</t>
  </si>
  <si>
    <t>Gesamt - Neu</t>
  </si>
  <si>
    <t>Zusammenfassung</t>
  </si>
  <si>
    <t>Gesamt(ohne Sozialversicherung)</t>
  </si>
  <si>
    <t>Sozialversicherung</t>
  </si>
  <si>
    <t>Gesamt Personal</t>
  </si>
  <si>
    <t>Nettobeträge (in Euro)</t>
  </si>
  <si>
    <t>Planung</t>
  </si>
  <si>
    <t>Ausgaben</t>
  </si>
  <si>
    <t>Anuitätendahrlen 1</t>
  </si>
  <si>
    <t>Tilgung</t>
  </si>
  <si>
    <t>Zins</t>
  </si>
  <si>
    <t>Restbetrag</t>
  </si>
  <si>
    <t>Gesamt - Zisnen</t>
  </si>
  <si>
    <t>Gesamt - Tilgung</t>
  </si>
  <si>
    <t>Gesamt - Restbetrag Kredit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</si>
</sst>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* #,##0.00\ [$€-407]_-;\-* #,##0.00\ [$€-407]_-;_-* &quot;-&quot;??\ [$€-407]_-;_-@_-"/>
    <numFmt numFmtId="165" formatCode="_-* #,##0\ [$€-407]_-;\-* #,##0\ [$€-407]_-;_-* &quot;-&quot;??\ [$€-407]_-;_-@_-"/>
    <numFmt numFmtId="166" formatCode="0.0000"/>
    <numFmt numFmtId="167" formatCode="0.000"/>
    <numFmt numFmtId="168" formatCode="0.0%"/>
    <numFmt numFmtId="169" formatCode="0.0000%"/>
    <numFmt numFmtId="170" formatCode="_-* #,##0\ [$€-407]_-;\-* #,##0\ [$€-407]_-;_-* &quot;-&quot;????\ [$€-407]_-;_-@_-"/>
    <numFmt numFmtId="171" formatCode="#,##0\ &quot;€&quot;"/>
    <numFmt numFmtId="172" formatCode="[$-F800]dddd\,\ mmmm\ dd\,\ yyyy"/>
    <numFmt numFmtId="174" formatCode="_-* #,##0_-;\-* #,##0_-;_-* &quot;-&quot;??_-;_-@_-"/>
    <numFmt numFmtId="178" formatCode="#,##0.0;[Red]\-#,##0.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theme="2" tint="-9.9978637043366805E-2"/>
      </left>
      <right/>
      <top/>
      <bottom style="thin">
        <color rgb="FF000000"/>
      </bottom>
      <diagonal/>
    </border>
    <border>
      <left/>
      <right style="thin">
        <color theme="2" tint="-9.9978637043366805E-2"/>
      </right>
      <top/>
      <bottom style="thin">
        <color rgb="FF000000"/>
      </bottom>
      <diagonal/>
    </border>
    <border>
      <left style="thin">
        <color theme="2" tint="-9.9978637043366805E-2"/>
      </left>
      <right/>
      <top/>
      <bottom/>
      <diagonal/>
    </border>
    <border>
      <left/>
      <right style="thin">
        <color theme="2" tint="-9.9978637043366805E-2"/>
      </right>
      <top/>
      <bottom/>
      <diagonal/>
    </border>
    <border>
      <left/>
      <right style="thick">
        <color theme="2" tint="-0.249977111117893"/>
      </right>
      <top/>
      <bottom/>
      <diagonal/>
    </border>
    <border>
      <left/>
      <right style="thick">
        <color theme="2" tint="-0.249977111117893"/>
      </right>
      <top/>
      <bottom style="thin">
        <color rgb="FF000000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ck">
        <color theme="2" tint="-0.249977111117893"/>
      </bottom>
      <diagonal/>
    </border>
    <border>
      <left/>
      <right/>
      <top style="thin">
        <color theme="2" tint="-9.9978637043366805E-2"/>
      </top>
      <bottom style="thick">
        <color theme="2" tint="-0.249977111117893"/>
      </bottom>
      <diagonal/>
    </border>
    <border>
      <left/>
      <right style="thick">
        <color theme="2" tint="-0.249977111117893"/>
      </right>
      <top style="thin">
        <color theme="2" tint="-9.9978637043366805E-2"/>
      </top>
      <bottom style="thick">
        <color theme="2" tint="-0.249977111117893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ck">
        <color theme="2" tint="-0.249977111117893"/>
      </bottom>
      <diagonal/>
    </border>
    <border>
      <left/>
      <right/>
      <top/>
      <bottom style="thick">
        <color theme="2" tint="-0.249977111117893"/>
      </bottom>
      <diagonal/>
    </border>
    <border>
      <left style="thin">
        <color theme="2" tint="-9.9978637043366805E-2"/>
      </left>
      <right/>
      <top/>
      <bottom style="thick">
        <color theme="2" tint="-0.249977111117893"/>
      </bottom>
      <diagonal/>
    </border>
    <border>
      <left/>
      <right style="thin">
        <color theme="2" tint="-9.9978637043366805E-2"/>
      </right>
      <top/>
      <bottom style="thick">
        <color theme="2" tint="-0.249977111117893"/>
      </bottom>
      <diagonal/>
    </border>
    <border>
      <left/>
      <right style="thick">
        <color theme="2" tint="-0.249977111117893"/>
      </right>
      <top/>
      <bottom style="thick">
        <color theme="2" tint="-0.249977111117893"/>
      </bottom>
      <diagonal/>
    </border>
    <border>
      <left/>
      <right/>
      <top/>
      <bottom style="double">
        <color theme="2" tint="-0.249977111117893"/>
      </bottom>
      <diagonal/>
    </border>
    <border>
      <left/>
      <right/>
      <top style="double">
        <color theme="2" tint="-0.249977111117893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theme="2" tint="-0.249977111117893"/>
      </right>
      <top/>
      <bottom style="double">
        <color theme="2" tint="-0.249977111117893"/>
      </bottom>
      <diagonal/>
    </border>
    <border>
      <left/>
      <right style="thick">
        <color theme="2" tint="-0.249977111117893"/>
      </right>
      <top style="double">
        <color theme="2" tint="-0.249977111117893"/>
      </top>
      <bottom style="thin">
        <color theme="1"/>
      </bottom>
      <diagonal/>
    </border>
    <border>
      <left/>
      <right style="thick">
        <color theme="2" tint="-0.249977111117893"/>
      </right>
      <top/>
      <bottom style="thin">
        <color theme="1"/>
      </bottom>
      <diagonal/>
    </border>
    <border>
      <left/>
      <right/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1" fillId="5" borderId="0" xfId="0" applyFont="1" applyFill="1"/>
    <xf numFmtId="165" fontId="0" fillId="0" borderId="0" xfId="0" applyNumberFormat="1"/>
    <xf numFmtId="9" fontId="0" fillId="0" borderId="0" xfId="0" applyNumberFormat="1"/>
    <xf numFmtId="165" fontId="0" fillId="3" borderId="0" xfId="0" applyNumberFormat="1" applyFill="1"/>
    <xf numFmtId="0" fontId="0" fillId="5" borderId="0" xfId="0" applyFill="1"/>
    <xf numFmtId="0" fontId="0" fillId="3" borderId="0" xfId="0" applyNumberFormat="1" applyFill="1"/>
    <xf numFmtId="9" fontId="0" fillId="3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5" fontId="0" fillId="4" borderId="0" xfId="0" applyNumberFormat="1" applyFill="1"/>
    <xf numFmtId="9" fontId="0" fillId="2" borderId="0" xfId="0" applyNumberFormat="1" applyFill="1"/>
    <xf numFmtId="0" fontId="2" fillId="5" borderId="0" xfId="0" applyFont="1" applyFill="1"/>
    <xf numFmtId="0" fontId="0" fillId="0" borderId="0" xfId="0" applyAlignment="1">
      <alignment wrapText="1"/>
    </xf>
    <xf numFmtId="166" fontId="0" fillId="0" borderId="0" xfId="0" applyNumberFormat="1"/>
    <xf numFmtId="167" fontId="0" fillId="0" borderId="0" xfId="0" applyNumberFormat="1"/>
    <xf numFmtId="2" fontId="0" fillId="0" borderId="0" xfId="0" applyNumberFormat="1"/>
    <xf numFmtId="0" fontId="0" fillId="6" borderId="0" xfId="0" applyFill="1"/>
    <xf numFmtId="0" fontId="0" fillId="7" borderId="0" xfId="0" applyFill="1"/>
    <xf numFmtId="9" fontId="0" fillId="6" borderId="0" xfId="0" applyNumberFormat="1" applyFill="1"/>
    <xf numFmtId="0" fontId="0" fillId="0" borderId="0" xfId="0" applyFill="1"/>
    <xf numFmtId="9" fontId="0" fillId="4" borderId="0" xfId="0" applyNumberFormat="1" applyFill="1"/>
    <xf numFmtId="169" fontId="0" fillId="6" borderId="0" xfId="0" applyNumberFormat="1" applyFill="1"/>
    <xf numFmtId="14" fontId="0" fillId="0" borderId="0" xfId="0" applyNumberFormat="1"/>
    <xf numFmtId="2" fontId="0" fillId="0" borderId="0" xfId="0" applyNumberFormat="1" applyFill="1"/>
    <xf numFmtId="1" fontId="0" fillId="0" borderId="0" xfId="0" applyNumberFormat="1"/>
    <xf numFmtId="166" fontId="1" fillId="0" borderId="0" xfId="0" applyNumberFormat="1" applyFont="1"/>
    <xf numFmtId="164" fontId="0" fillId="6" borderId="0" xfId="0" applyNumberFormat="1" applyFill="1"/>
    <xf numFmtId="165" fontId="0" fillId="6" borderId="0" xfId="0" applyNumberFormat="1" applyFill="1"/>
    <xf numFmtId="170" fontId="0" fillId="0" borderId="0" xfId="0" applyNumberFormat="1"/>
    <xf numFmtId="165" fontId="1" fillId="6" borderId="0" xfId="0" applyNumberFormat="1" applyFont="1" applyFill="1"/>
    <xf numFmtId="14" fontId="0" fillId="6" borderId="0" xfId="0" applyNumberFormat="1" applyFill="1"/>
    <xf numFmtId="0" fontId="2" fillId="7" borderId="1" xfId="0" applyFont="1" applyFill="1" applyBorder="1"/>
    <xf numFmtId="0" fontId="0" fillId="7" borderId="1" xfId="0" applyFill="1" applyBorder="1"/>
    <xf numFmtId="0" fontId="1" fillId="0" borderId="0" xfId="0" applyFont="1" applyBorder="1"/>
    <xf numFmtId="0" fontId="0" fillId="0" borderId="0" xfId="0" applyBorder="1"/>
    <xf numFmtId="0" fontId="0" fillId="0" borderId="2" xfId="0" applyBorder="1"/>
    <xf numFmtId="0" fontId="1" fillId="0" borderId="4" xfId="0" applyFont="1" applyBorder="1" applyAlignment="1">
      <alignment vertical="center"/>
    </xf>
    <xf numFmtId="0" fontId="0" fillId="0" borderId="5" xfId="0" applyBorder="1"/>
    <xf numFmtId="0" fontId="1" fillId="0" borderId="6" xfId="0" applyFont="1" applyBorder="1"/>
    <xf numFmtId="0" fontId="1" fillId="8" borderId="0" xfId="0" applyFont="1" applyFill="1"/>
    <xf numFmtId="0" fontId="1" fillId="0" borderId="7" xfId="0" applyFont="1" applyBorder="1"/>
    <xf numFmtId="0" fontId="0" fillId="0" borderId="7" xfId="0" applyBorder="1"/>
    <xf numFmtId="0" fontId="0" fillId="8" borderId="0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7" fontId="0" fillId="8" borderId="13" xfId="0" applyNumberFormat="1" applyFill="1" applyBorder="1"/>
    <xf numFmtId="0" fontId="0" fillId="0" borderId="14" xfId="0" applyBorder="1"/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1" fillId="0" borderId="20" xfId="0" applyNumberFormat="1" applyFont="1" applyBorder="1"/>
    <xf numFmtId="171" fontId="1" fillId="0" borderId="20" xfId="0" applyNumberFormat="1" applyFont="1" applyBorder="1"/>
    <xf numFmtId="168" fontId="0" fillId="0" borderId="0" xfId="0" applyNumberFormat="1"/>
    <xf numFmtId="0" fontId="1" fillId="7" borderId="0" xfId="0" applyFont="1" applyFill="1"/>
    <xf numFmtId="0" fontId="0" fillId="0" borderId="21" xfId="0" applyBorder="1"/>
    <xf numFmtId="0" fontId="1" fillId="0" borderId="17" xfId="0" applyFont="1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169" fontId="0" fillId="0" borderId="16" xfId="0" applyNumberFormat="1" applyBorder="1"/>
    <xf numFmtId="0" fontId="1" fillId="0" borderId="26" xfId="0" applyFont="1" applyBorder="1"/>
    <xf numFmtId="0" fontId="0" fillId="9" borderId="25" xfId="0" applyFill="1" applyBorder="1"/>
    <xf numFmtId="0" fontId="0" fillId="8" borderId="21" xfId="0" applyFill="1" applyBorder="1"/>
    <xf numFmtId="0" fontId="0" fillId="8" borderId="24" xfId="0" applyFill="1" applyBorder="1"/>
    <xf numFmtId="0" fontId="0" fillId="8" borderId="23" xfId="0" applyFill="1" applyBorder="1"/>
    <xf numFmtId="168" fontId="0" fillId="0" borderId="21" xfId="0" applyNumberFormat="1" applyBorder="1"/>
    <xf numFmtId="168" fontId="0" fillId="0" borderId="0" xfId="0" applyNumberFormat="1" applyBorder="1"/>
    <xf numFmtId="172" fontId="0" fillId="0" borderId="8" xfId="0" applyNumberFormat="1" applyBorder="1"/>
    <xf numFmtId="172" fontId="0" fillId="0" borderId="7" xfId="0" applyNumberFormat="1" applyBorder="1"/>
    <xf numFmtId="172" fontId="0" fillId="0" borderId="16" xfId="0" applyNumberFormat="1" applyBorder="1"/>
    <xf numFmtId="172" fontId="0" fillId="0" borderId="26" xfId="0" applyNumberFormat="1" applyBorder="1"/>
    <xf numFmtId="172" fontId="0" fillId="0" borderId="28" xfId="0" applyNumberFormat="1" applyBorder="1"/>
    <xf numFmtId="172" fontId="1" fillId="0" borderId="26" xfId="0" applyNumberFormat="1" applyFont="1" applyBorder="1"/>
    <xf numFmtId="0" fontId="0" fillId="10" borderId="0" xfId="0" applyFill="1"/>
    <xf numFmtId="174" fontId="0" fillId="0" borderId="21" xfId="0" applyNumberFormat="1" applyBorder="1"/>
    <xf numFmtId="174" fontId="0" fillId="0" borderId="0" xfId="0" applyNumberFormat="1" applyBorder="1"/>
    <xf numFmtId="10" fontId="0" fillId="0" borderId="0" xfId="0" applyNumberFormat="1" applyBorder="1"/>
    <xf numFmtId="0" fontId="1" fillId="0" borderId="22" xfId="0" applyFont="1" applyBorder="1"/>
    <xf numFmtId="165" fontId="0" fillId="0" borderId="2" xfId="0" applyNumberFormat="1" applyBorder="1"/>
    <xf numFmtId="164" fontId="0" fillId="0" borderId="29" xfId="0" applyNumberFormat="1" applyBorder="1"/>
    <xf numFmtId="0" fontId="0" fillId="0" borderId="29" xfId="0" applyBorder="1"/>
    <xf numFmtId="0" fontId="0" fillId="0" borderId="20" xfId="0" applyBorder="1"/>
    <xf numFmtId="0" fontId="0" fillId="0" borderId="20" xfId="0" applyBorder="1" applyAlignment="1">
      <alignment wrapText="1"/>
    </xf>
    <xf numFmtId="165" fontId="0" fillId="0" borderId="20" xfId="0" applyNumberFormat="1" applyBorder="1"/>
    <xf numFmtId="164" fontId="0" fillId="0" borderId="0" xfId="0" applyNumberFormat="1" applyBorder="1"/>
    <xf numFmtId="164" fontId="0" fillId="0" borderId="20" xfId="0" applyNumberFormat="1" applyBorder="1"/>
    <xf numFmtId="0" fontId="0" fillId="8" borderId="30" xfId="0" applyFill="1" applyBorder="1"/>
    <xf numFmtId="0" fontId="0" fillId="8" borderId="31" xfId="0" applyFill="1" applyBorder="1"/>
    <xf numFmtId="0" fontId="0" fillId="0" borderId="31" xfId="0" applyBorder="1"/>
    <xf numFmtId="165" fontId="0" fillId="0" borderId="32" xfId="0" applyNumberFormat="1" applyBorder="1"/>
    <xf numFmtId="165" fontId="0" fillId="0" borderId="31" xfId="0" applyNumberFormat="1" applyBorder="1"/>
    <xf numFmtId="165" fontId="0" fillId="0" borderId="33" xfId="0" applyNumberFormat="1" applyBorder="1"/>
    <xf numFmtId="164" fontId="0" fillId="0" borderId="32" xfId="0" applyNumberFormat="1" applyBorder="1"/>
    <xf numFmtId="164" fontId="0" fillId="0" borderId="31" xfId="0" applyNumberFormat="1" applyBorder="1"/>
    <xf numFmtId="165" fontId="0" fillId="0" borderId="34" xfId="0" applyNumberFormat="1" applyBorder="1"/>
    <xf numFmtId="164" fontId="0" fillId="0" borderId="34" xfId="0" applyNumberFormat="1" applyBorder="1"/>
    <xf numFmtId="165" fontId="0" fillId="0" borderId="35" xfId="0" applyNumberFormat="1" applyBorder="1"/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7" borderId="0" xfId="0" applyFont="1" applyFill="1" applyBorder="1" applyAlignment="1"/>
    <xf numFmtId="0" fontId="1" fillId="7" borderId="7" xfId="0" applyFont="1" applyFill="1" applyBorder="1" applyAlignment="1"/>
    <xf numFmtId="0" fontId="1" fillId="7" borderId="13" xfId="0" applyFont="1" applyFill="1" applyBorder="1" applyAlignment="1"/>
    <xf numFmtId="0" fontId="1" fillId="7" borderId="16" xfId="0" applyFont="1" applyFill="1" applyBorder="1" applyAlignment="1"/>
    <xf numFmtId="0" fontId="1" fillId="0" borderId="18" xfId="0" applyFont="1" applyBorder="1" applyAlignment="1"/>
    <xf numFmtId="0" fontId="1" fillId="0" borderId="27" xfId="0" applyFont="1" applyBorder="1" applyAlignment="1"/>
    <xf numFmtId="0" fontId="0" fillId="8" borderId="0" xfId="0" applyFill="1" applyAlignment="1">
      <alignment horizontal="center"/>
    </xf>
    <xf numFmtId="38" fontId="0" fillId="0" borderId="25" xfId="0" applyNumberFormat="1" applyBorder="1"/>
    <xf numFmtId="178" fontId="0" fillId="0" borderId="25" xfId="0" applyNumberFormat="1" applyBorder="1"/>
    <xf numFmtId="171" fontId="0" fillId="0" borderId="0" xfId="0" applyNumberFormat="1"/>
    <xf numFmtId="10" fontId="0" fillId="0" borderId="0" xfId="0" applyNumberFormat="1"/>
    <xf numFmtId="38" fontId="0" fillId="0" borderId="0" xfId="0" applyNumberFormat="1"/>
    <xf numFmtId="14" fontId="0" fillId="0" borderId="7" xfId="0" applyNumberFormat="1" applyBorder="1"/>
    <xf numFmtId="38" fontId="0" fillId="0" borderId="13" xfId="0" applyNumberFormat="1" applyBorder="1"/>
    <xf numFmtId="38" fontId="0" fillId="0" borderId="17" xfId="0" applyNumberFormat="1" applyBorder="1"/>
    <xf numFmtId="38" fontId="0" fillId="0" borderId="19" xfId="0" applyNumberFormat="1" applyBorder="1"/>
    <xf numFmtId="38" fontId="1" fillId="0" borderId="17" xfId="0" applyNumberFormat="1" applyFont="1" applyBorder="1"/>
    <xf numFmtId="38" fontId="0" fillId="0" borderId="6" xfId="0" applyNumberFormat="1" applyBorder="1"/>
    <xf numFmtId="38" fontId="0" fillId="0" borderId="15" xfId="0" applyNumberFormat="1" applyBorder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U87"/>
  <sheetViews>
    <sheetView topLeftCell="A50" workbookViewId="0">
      <selection activeCell="O56" sqref="O56"/>
    </sheetView>
  </sheetViews>
  <sheetFormatPr defaultRowHeight="15"/>
  <cols>
    <col min="1" max="1" width="17.42578125" customWidth="1"/>
    <col min="2" max="2" width="21.7109375" customWidth="1"/>
    <col min="3" max="3" width="12.85546875" customWidth="1"/>
    <col min="4" max="4" width="11.28515625" customWidth="1"/>
    <col min="5" max="5" width="14.42578125" customWidth="1"/>
    <col min="6" max="6" width="14.85546875" customWidth="1"/>
    <col min="7" max="7" width="14.7109375" customWidth="1"/>
    <col min="8" max="8" width="11.7109375" bestFit="1" customWidth="1"/>
    <col min="9" max="10" width="15" customWidth="1"/>
    <col min="11" max="11" width="18.28515625" customWidth="1"/>
    <col min="12" max="12" width="11.42578125" customWidth="1"/>
    <col min="13" max="15" width="10" bestFit="1" customWidth="1"/>
    <col min="16" max="16" width="11" bestFit="1" customWidth="1"/>
    <col min="17" max="19" width="10" bestFit="1" customWidth="1"/>
  </cols>
  <sheetData>
    <row r="2" spans="1:10">
      <c r="A2" t="s">
        <v>0</v>
      </c>
      <c r="F2" s="2" t="s">
        <v>1</v>
      </c>
      <c r="G2" s="2"/>
    </row>
    <row r="3" spans="1:10">
      <c r="A3" t="s">
        <v>2</v>
      </c>
      <c r="F3" s="3" t="s">
        <v>3</v>
      </c>
      <c r="G3" s="3"/>
    </row>
    <row r="4" spans="1:10">
      <c r="F4" s="4" t="s">
        <v>4</v>
      </c>
      <c r="G4" s="4"/>
    </row>
    <row r="5" spans="1:10">
      <c r="A5" s="6" t="s">
        <v>5</v>
      </c>
      <c r="B5">
        <v>2025</v>
      </c>
      <c r="G5" t="s">
        <v>6</v>
      </c>
      <c r="I5" t="s">
        <v>7</v>
      </c>
    </row>
    <row r="6" spans="1:10">
      <c r="I6" t="s">
        <v>8</v>
      </c>
    </row>
    <row r="7" spans="1:10">
      <c r="A7" s="3" t="s">
        <v>9</v>
      </c>
      <c r="B7" s="3" t="s">
        <v>10</v>
      </c>
      <c r="C7" s="3"/>
      <c r="D7" s="3" t="s">
        <v>11</v>
      </c>
      <c r="E7" s="3"/>
      <c r="F7" s="3"/>
      <c r="G7" s="9">
        <v>60000</v>
      </c>
    </row>
    <row r="8" spans="1:10">
      <c r="A8" s="4" t="s">
        <v>12</v>
      </c>
      <c r="B8" s="3" t="s">
        <v>13</v>
      </c>
      <c r="C8" s="3"/>
      <c r="D8" s="3" t="s">
        <v>11</v>
      </c>
      <c r="E8" s="3"/>
      <c r="F8" s="3"/>
      <c r="G8" s="11"/>
      <c r="I8" s="3"/>
      <c r="J8" s="3"/>
    </row>
    <row r="9" spans="1:10">
      <c r="A9" s="4" t="s">
        <v>14</v>
      </c>
      <c r="B9" s="3" t="s">
        <v>15</v>
      </c>
      <c r="C9" s="3"/>
      <c r="D9" s="3"/>
      <c r="E9" s="3"/>
      <c r="F9" s="3"/>
      <c r="G9" s="11"/>
      <c r="I9" s="3">
        <v>700</v>
      </c>
      <c r="J9" s="3"/>
    </row>
    <row r="10" spans="1:10">
      <c r="A10" s="4" t="s">
        <v>16</v>
      </c>
      <c r="B10" s="3" t="s">
        <v>17</v>
      </c>
      <c r="C10" s="3"/>
      <c r="D10" s="3"/>
      <c r="E10" s="3"/>
      <c r="F10" s="3"/>
      <c r="G10" s="12">
        <v>0.9</v>
      </c>
      <c r="I10" s="12">
        <v>0.9</v>
      </c>
      <c r="J10" s="12"/>
    </row>
    <row r="11" spans="1:10">
      <c r="A11" s="4" t="s">
        <v>18</v>
      </c>
      <c r="B11" s="3" t="s">
        <v>19</v>
      </c>
      <c r="C11" s="3"/>
      <c r="D11" s="3"/>
      <c r="E11" s="3"/>
      <c r="F11" s="3"/>
      <c r="G11" s="13">
        <v>80</v>
      </c>
      <c r="I11" s="13">
        <v>80</v>
      </c>
      <c r="J11" s="13"/>
    </row>
    <row r="12" spans="1:10">
      <c r="A12" s="4" t="s">
        <v>20</v>
      </c>
      <c r="B12" s="3" t="s">
        <v>21</v>
      </c>
      <c r="C12" s="3"/>
      <c r="D12" s="3"/>
      <c r="E12" s="3"/>
      <c r="F12" s="3"/>
      <c r="G12" s="11">
        <v>11</v>
      </c>
      <c r="I12" s="3">
        <v>11</v>
      </c>
      <c r="J12" s="3"/>
    </row>
    <row r="13" spans="1:10">
      <c r="A13" s="4" t="s">
        <v>22</v>
      </c>
      <c r="B13" s="3" t="s">
        <v>23</v>
      </c>
      <c r="C13" s="3"/>
      <c r="D13" s="3" t="s">
        <v>24</v>
      </c>
      <c r="E13" s="3"/>
      <c r="F13" s="3"/>
      <c r="G13" s="3"/>
      <c r="I13" s="9">
        <v>30000</v>
      </c>
      <c r="J13" s="9"/>
    </row>
    <row r="15" spans="1:10">
      <c r="A15" s="6" t="s">
        <v>25</v>
      </c>
      <c r="B15" s="10"/>
    </row>
    <row r="16" spans="1:10">
      <c r="B16" s="5" t="s">
        <v>10</v>
      </c>
      <c r="C16" s="15">
        <f>$G$7</f>
        <v>60000</v>
      </c>
    </row>
    <row r="17" spans="1:12">
      <c r="B17" t="s">
        <v>26</v>
      </c>
      <c r="C17" s="16">
        <v>0.05</v>
      </c>
    </row>
    <row r="18" spans="1:12">
      <c r="B18" t="s">
        <v>27</v>
      </c>
      <c r="C18" s="2">
        <v>6</v>
      </c>
    </row>
    <row r="19" spans="1:12">
      <c r="B19" t="s">
        <v>28</v>
      </c>
      <c r="C19" s="1">
        <f>C16/C18/12</f>
        <v>833.33333333333337</v>
      </c>
      <c r="D19" s="7"/>
    </row>
    <row r="20" spans="1:12">
      <c r="B20" s="5" t="s">
        <v>13</v>
      </c>
      <c r="C20" s="15">
        <f>$G$8</f>
        <v>0</v>
      </c>
    </row>
    <row r="21" spans="1:12">
      <c r="B21" t="s">
        <v>26</v>
      </c>
      <c r="C21" s="8">
        <f>C17</f>
        <v>0.05</v>
      </c>
    </row>
    <row r="22" spans="1:12">
      <c r="B22" t="s">
        <v>27</v>
      </c>
      <c r="C22">
        <f>C18</f>
        <v>6</v>
      </c>
    </row>
    <row r="23" spans="1:12">
      <c r="B23" t="s">
        <v>28</v>
      </c>
      <c r="C23" s="1">
        <f>IF(C20=0,0,C20/C22/12)</f>
        <v>0</v>
      </c>
    </row>
    <row r="25" spans="1:12">
      <c r="B25" t="s">
        <v>29</v>
      </c>
    </row>
    <row r="27" spans="1:12">
      <c r="A27" s="17" t="s">
        <v>30</v>
      </c>
      <c r="B27" s="10"/>
    </row>
    <row r="28" spans="1:12">
      <c r="K28" t="s">
        <v>31</v>
      </c>
      <c r="L28" t="s">
        <v>32</v>
      </c>
    </row>
    <row r="29" spans="1:12">
      <c r="A29" s="17" t="s">
        <v>33</v>
      </c>
      <c r="B29" s="10"/>
      <c r="C29" s="10"/>
      <c r="D29" s="10"/>
      <c r="E29" s="10"/>
      <c r="F29" s="10"/>
      <c r="G29" s="10"/>
      <c r="H29" s="10"/>
      <c r="I29" s="10"/>
      <c r="J29" s="10"/>
      <c r="K29" t="s">
        <v>34</v>
      </c>
      <c r="L29" t="s">
        <v>35</v>
      </c>
    </row>
    <row r="30" spans="1:12">
      <c r="A30" t="s">
        <v>36</v>
      </c>
      <c r="C30" s="22">
        <v>52</v>
      </c>
      <c r="D30" t="s">
        <v>37</v>
      </c>
      <c r="E30" s="22">
        <v>5</v>
      </c>
      <c r="F30" t="s">
        <v>38</v>
      </c>
      <c r="G30" s="22">
        <v>8</v>
      </c>
      <c r="H30" t="s">
        <v>35</v>
      </c>
      <c r="I30">
        <f>(C30*E30*G30)</f>
        <v>2080</v>
      </c>
      <c r="L30">
        <f>I30</f>
        <v>2080</v>
      </c>
    </row>
    <row r="31" spans="1:12">
      <c r="B31" t="s">
        <v>39</v>
      </c>
      <c r="E31" s="22">
        <v>11</v>
      </c>
      <c r="G31" s="22">
        <v>8</v>
      </c>
      <c r="I31">
        <f>-(E31*G31)</f>
        <v>-88</v>
      </c>
      <c r="L31">
        <f>I31</f>
        <v>-88</v>
      </c>
    </row>
    <row r="32" spans="1:12">
      <c r="B32" t="s">
        <v>40</v>
      </c>
      <c r="E32" s="22">
        <v>30</v>
      </c>
      <c r="G32" s="22">
        <v>8</v>
      </c>
      <c r="I32">
        <f>-(E32*G32)</f>
        <v>-240</v>
      </c>
      <c r="L32">
        <f>I32</f>
        <v>-240</v>
      </c>
    </row>
    <row r="33" spans="1:21">
      <c r="B33" t="s">
        <v>41</v>
      </c>
      <c r="E33" s="4">
        <f>$G$12</f>
        <v>11</v>
      </c>
      <c r="G33" s="22">
        <v>8</v>
      </c>
      <c r="I33">
        <f>-(E33*G33)</f>
        <v>-88</v>
      </c>
      <c r="K33" s="4">
        <f>$I$12</f>
        <v>11</v>
      </c>
      <c r="L33">
        <f>I33</f>
        <v>-88</v>
      </c>
    </row>
    <row r="34" spans="1:21">
      <c r="A34" t="s">
        <v>42</v>
      </c>
      <c r="I34" s="29">
        <f>SUM(I30:I33)</f>
        <v>1664</v>
      </c>
      <c r="L34" s="21">
        <f>I34</f>
        <v>1664</v>
      </c>
    </row>
    <row r="35" spans="1:21">
      <c r="A35" t="s">
        <v>43</v>
      </c>
      <c r="H35" s="27">
        <v>0.19871800000000001</v>
      </c>
      <c r="I35" s="20">
        <f>-(H35*I34)</f>
        <v>-330.66675200000003</v>
      </c>
      <c r="L35" s="30">
        <f>-(H35*L34)</f>
        <v>-330.66675200000003</v>
      </c>
    </row>
    <row r="36" spans="1:21" ht="5.25" customHeight="1"/>
    <row r="37" spans="1:21">
      <c r="A37" s="17" t="s">
        <v>44</v>
      </c>
      <c r="B37" s="10"/>
      <c r="C37" s="24">
        <v>1</v>
      </c>
      <c r="D37" t="s">
        <v>45</v>
      </c>
      <c r="H37" t="s">
        <v>46</v>
      </c>
      <c r="I37" s="31">
        <f>SUM(I34:I35)</f>
        <v>1333.3332479999999</v>
      </c>
      <c r="K37" t="s">
        <v>46</v>
      </c>
      <c r="L37" s="31">
        <f>SUM(L34:L35)</f>
        <v>1333.3332479999999</v>
      </c>
    </row>
    <row r="39" spans="1:21">
      <c r="A39" s="23"/>
      <c r="B39" s="23"/>
      <c r="C39" s="23"/>
      <c r="D39" s="23"/>
      <c r="E39" s="23">
        <v>2025</v>
      </c>
      <c r="F39" s="23">
        <v>2026</v>
      </c>
      <c r="G39" s="23"/>
      <c r="H39" s="23" t="s">
        <v>47</v>
      </c>
      <c r="I39" s="23" t="s">
        <v>48</v>
      </c>
      <c r="J39" s="23" t="s">
        <v>49</v>
      </c>
      <c r="K39" s="23" t="s">
        <v>50</v>
      </c>
      <c r="L39" s="23" t="s">
        <v>51</v>
      </c>
      <c r="M39" s="23" t="s">
        <v>52</v>
      </c>
      <c r="N39" s="23" t="s">
        <v>53</v>
      </c>
      <c r="O39" s="23" t="s">
        <v>54</v>
      </c>
      <c r="P39" s="23" t="s">
        <v>55</v>
      </c>
      <c r="Q39" s="23" t="s">
        <v>56</v>
      </c>
      <c r="R39" s="23" t="s">
        <v>57</v>
      </c>
      <c r="S39" s="23" t="s">
        <v>58</v>
      </c>
      <c r="T39" s="23"/>
      <c r="U39" s="23"/>
    </row>
    <row r="40" spans="1:21">
      <c r="A40" s="17" t="s">
        <v>59</v>
      </c>
      <c r="B40" s="17"/>
    </row>
    <row r="41" spans="1:21">
      <c r="B41" t="s">
        <v>60</v>
      </c>
      <c r="E41" s="14">
        <f>$G$11</f>
        <v>80</v>
      </c>
      <c r="F41" s="14">
        <f>$I$11</f>
        <v>80</v>
      </c>
    </row>
    <row r="42" spans="1:21">
      <c r="B42" t="s">
        <v>61</v>
      </c>
      <c r="E42" s="19">
        <f>I37</f>
        <v>1333.3332479999999</v>
      </c>
      <c r="F42" s="19">
        <f>L37</f>
        <v>1333.3332479999999</v>
      </c>
    </row>
    <row r="43" spans="1:21">
      <c r="B43" t="s">
        <v>62</v>
      </c>
      <c r="E43" s="26">
        <f>$G$10</f>
        <v>0.9</v>
      </c>
      <c r="F43" s="26">
        <f>$I$10</f>
        <v>0.9</v>
      </c>
    </row>
    <row r="44" spans="1:21">
      <c r="B44" t="s">
        <v>63</v>
      </c>
      <c r="E44" s="21">
        <f>E42*E43</f>
        <v>1199.9999232</v>
      </c>
      <c r="F44" s="21">
        <f>F42*F43</f>
        <v>1199.9999232</v>
      </c>
    </row>
    <row r="45" spans="1:21">
      <c r="B45" t="s">
        <v>64</v>
      </c>
      <c r="E45" s="22">
        <v>15</v>
      </c>
      <c r="F45" s="22">
        <v>15</v>
      </c>
    </row>
    <row r="46" spans="1:21">
      <c r="B46" t="s">
        <v>65</v>
      </c>
      <c r="E46" s="7">
        <f>E41*E44*E45</f>
        <v>1439999.90784</v>
      </c>
      <c r="F46" s="7">
        <f>F41*F44*F45</f>
        <v>1439999.90784</v>
      </c>
    </row>
    <row r="47" spans="1:21">
      <c r="A47" s="23"/>
      <c r="B47" s="23"/>
      <c r="C47" s="23"/>
      <c r="D47" s="23"/>
      <c r="E47" s="23" t="s">
        <v>35</v>
      </c>
      <c r="F47" s="23" t="s">
        <v>66</v>
      </c>
      <c r="G47" s="23">
        <v>2025</v>
      </c>
      <c r="H47" s="23">
        <v>2026</v>
      </c>
      <c r="I47" s="23" t="s">
        <v>67</v>
      </c>
      <c r="J47" s="23">
        <v>2025</v>
      </c>
      <c r="K47" s="23">
        <v>2026</v>
      </c>
    </row>
    <row r="48" spans="1:21">
      <c r="A48" s="6" t="s">
        <v>68</v>
      </c>
      <c r="B48" s="10"/>
      <c r="I48" s="27">
        <v>0.21999199999999999</v>
      </c>
    </row>
    <row r="49" spans="1:19">
      <c r="B49" t="s">
        <v>69</v>
      </c>
      <c r="C49" s="22">
        <v>1</v>
      </c>
      <c r="D49" s="33">
        <v>7000</v>
      </c>
      <c r="E49">
        <f>$E$30*$G$30</f>
        <v>40</v>
      </c>
      <c r="F49" s="28">
        <v>45658</v>
      </c>
      <c r="G49" s="7">
        <f>D49*C49</f>
        <v>7000</v>
      </c>
      <c r="H49" s="7">
        <f>C49*D49</f>
        <v>7000</v>
      </c>
      <c r="I49" t="s">
        <v>70</v>
      </c>
      <c r="J49" s="34">
        <f>G49*$I$50*(1+$I$48)</f>
        <v>102479.32799999999</v>
      </c>
      <c r="K49" s="34">
        <f>H49*$I$50*(1+$I$48)</f>
        <v>102479.32799999999</v>
      </c>
    </row>
    <row r="50" spans="1:19">
      <c r="B50" t="s">
        <v>71</v>
      </c>
      <c r="C50" s="22">
        <v>1</v>
      </c>
      <c r="D50" s="33">
        <v>3300</v>
      </c>
      <c r="E50">
        <f>$E$30*$G$30</f>
        <v>40</v>
      </c>
      <c r="F50" s="28">
        <v>45658</v>
      </c>
      <c r="G50" s="7">
        <f>D50*C50</f>
        <v>3300</v>
      </c>
      <c r="H50" s="7">
        <f>C50*D50</f>
        <v>3300</v>
      </c>
      <c r="I50">
        <v>12</v>
      </c>
      <c r="J50" s="34">
        <f>G50*$I$50*(1+$I$48)</f>
        <v>48311.683199999999</v>
      </c>
      <c r="K50" s="34">
        <f t="shared" ref="K50:K53" si="0">H50*$I$50*(1+$I$48)</f>
        <v>48311.683199999999</v>
      </c>
    </row>
    <row r="51" spans="1:19">
      <c r="B51" t="s">
        <v>72</v>
      </c>
      <c r="C51" s="22">
        <v>2</v>
      </c>
      <c r="D51" s="33">
        <v>3300</v>
      </c>
      <c r="E51">
        <f>$E$30*$G$30</f>
        <v>40</v>
      </c>
      <c r="F51" s="28">
        <v>45658</v>
      </c>
      <c r="G51" s="7">
        <f>D51*C51</f>
        <v>6600</v>
      </c>
      <c r="H51" s="7">
        <f>C51*D51</f>
        <v>6600</v>
      </c>
      <c r="J51" s="34">
        <f>G51*$I$50*(1+$I$48)</f>
        <v>96623.366399999999</v>
      </c>
      <c r="K51" s="34">
        <f t="shared" si="0"/>
        <v>96623.366399999999</v>
      </c>
    </row>
    <row r="52" spans="1:19">
      <c r="B52" t="s">
        <v>73</v>
      </c>
      <c r="C52" s="22">
        <v>1</v>
      </c>
      <c r="D52" s="33">
        <v>3300</v>
      </c>
      <c r="E52">
        <f>$E$30*$G$30</f>
        <v>40</v>
      </c>
      <c r="F52" s="28">
        <v>45658</v>
      </c>
      <c r="G52" s="7">
        <f>D52*C52</f>
        <v>3300</v>
      </c>
      <c r="H52" s="7">
        <f>C52*D52</f>
        <v>3300</v>
      </c>
      <c r="J52" s="34">
        <f>G52*$I$50*(1+$I$48)</f>
        <v>48311.683199999999</v>
      </c>
      <c r="K52" s="34">
        <f t="shared" si="0"/>
        <v>48311.683199999999</v>
      </c>
    </row>
    <row r="53" spans="1:19">
      <c r="B53" t="s">
        <v>74</v>
      </c>
      <c r="C53" s="22">
        <v>15</v>
      </c>
      <c r="D53" s="33">
        <v>4300</v>
      </c>
      <c r="E53">
        <f>$E$30*$G$30</f>
        <v>40</v>
      </c>
      <c r="F53" s="28">
        <v>45658</v>
      </c>
      <c r="G53" s="7">
        <f>D53*C53</f>
        <v>64500</v>
      </c>
      <c r="H53" s="7">
        <f>C53*D53</f>
        <v>64500</v>
      </c>
      <c r="J53" s="34">
        <f>G53*$I$50*(1+$I$48)</f>
        <v>944273.80799999996</v>
      </c>
      <c r="K53" s="34">
        <f t="shared" si="0"/>
        <v>944273.80799999996</v>
      </c>
    </row>
    <row r="54" spans="1:19">
      <c r="B54" t="s">
        <v>75</v>
      </c>
      <c r="C54" s="22">
        <v>15</v>
      </c>
      <c r="D54" s="15">
        <f>$I$9</f>
        <v>700</v>
      </c>
      <c r="F54" s="28">
        <v>46023</v>
      </c>
      <c r="G54" s="7"/>
      <c r="H54" s="7">
        <f>C54*D54</f>
        <v>10500</v>
      </c>
      <c r="J54" s="34">
        <f>G54*$I$50*(1+$I$48)</f>
        <v>0</v>
      </c>
      <c r="K54" s="34">
        <f>H54*$I$50*(1+$I$48)</f>
        <v>153718.992</v>
      </c>
    </row>
    <row r="55" spans="1:19">
      <c r="B55" t="s">
        <v>76</v>
      </c>
      <c r="C55" s="25"/>
      <c r="J55" s="34">
        <f>SUM(J49:J54)</f>
        <v>1239999.8687999998</v>
      </c>
      <c r="K55" s="34">
        <f>SUM(K49:K54)</f>
        <v>1393718.8607999999</v>
      </c>
    </row>
    <row r="57" spans="1:19">
      <c r="A57" s="23"/>
      <c r="B57" s="23"/>
      <c r="C57" s="23"/>
      <c r="D57" s="23"/>
      <c r="E57" s="23">
        <v>2025</v>
      </c>
      <c r="F57" s="23">
        <v>2026</v>
      </c>
      <c r="G57" s="23"/>
      <c r="H57" s="23" t="s">
        <v>47</v>
      </c>
      <c r="I57" s="23" t="s">
        <v>48</v>
      </c>
      <c r="J57" s="23" t="s">
        <v>77</v>
      </c>
      <c r="K57" s="23" t="s">
        <v>50</v>
      </c>
      <c r="L57" s="23" t="s">
        <v>78</v>
      </c>
      <c r="M57" s="23" t="s">
        <v>52</v>
      </c>
      <c r="N57" s="23" t="s">
        <v>53</v>
      </c>
      <c r="O57" s="23" t="s">
        <v>54</v>
      </c>
      <c r="P57" s="23" t="s">
        <v>55</v>
      </c>
      <c r="Q57" s="23" t="s">
        <v>79</v>
      </c>
      <c r="R57" s="23" t="s">
        <v>57</v>
      </c>
      <c r="S57" s="23" t="s">
        <v>80</v>
      </c>
    </row>
    <row r="58" spans="1:19">
      <c r="A58" s="17" t="s">
        <v>81</v>
      </c>
      <c r="B58" s="10"/>
    </row>
    <row r="59" spans="1:19">
      <c r="B59" t="s">
        <v>82</v>
      </c>
      <c r="C59" s="22">
        <v>250</v>
      </c>
      <c r="D59" s="32">
        <v>15</v>
      </c>
      <c r="E59" s="1">
        <f>C59*D59*12</f>
        <v>45000</v>
      </c>
      <c r="F59" s="1">
        <f>C59*D59*12</f>
        <v>45000</v>
      </c>
    </row>
    <row r="60" spans="1:19">
      <c r="B60" t="s">
        <v>83</v>
      </c>
      <c r="E60" s="32">
        <v>100000</v>
      </c>
      <c r="F60" s="1">
        <f>E60</f>
        <v>100000</v>
      </c>
      <c r="H60" s="86">
        <v>7.2999999999999995E-2</v>
      </c>
      <c r="I60" s="86">
        <v>6.0999999999999999E-2</v>
      </c>
      <c r="J60" s="86">
        <v>7.0000000000000007E-2</v>
      </c>
      <c r="K60" s="86">
        <v>6.4000000000000001E-2</v>
      </c>
      <c r="L60" s="86">
        <v>0.23699999999999999</v>
      </c>
      <c r="M60" s="86">
        <v>6.2E-2</v>
      </c>
      <c r="N60" s="86">
        <v>7.1999999999999995E-2</v>
      </c>
      <c r="O60" s="86">
        <v>6.0999999999999999E-2</v>
      </c>
      <c r="P60" s="86">
        <v>0.105</v>
      </c>
      <c r="Q60" s="86">
        <v>6.4000000000000001E-2</v>
      </c>
      <c r="R60" s="86">
        <v>7.0000000000000007E-2</v>
      </c>
      <c r="S60" s="86">
        <v>6.0999999999999999E-2</v>
      </c>
    </row>
    <row r="61" spans="1:19">
      <c r="H61" s="119">
        <f>H60*$E$60</f>
        <v>7299.9999999999991</v>
      </c>
      <c r="I61" s="119">
        <f>I60*$E$60</f>
        <v>6100</v>
      </c>
      <c r="J61" s="119">
        <f>J60*$E$60</f>
        <v>7000.0000000000009</v>
      </c>
      <c r="K61" s="119">
        <f>K60*$E$60</f>
        <v>6400</v>
      </c>
      <c r="L61" s="119">
        <f>L60*$E$60</f>
        <v>23700</v>
      </c>
      <c r="M61" s="119">
        <f>M60*$E$60</f>
        <v>6200</v>
      </c>
      <c r="N61" s="119">
        <f>N60*$E$60</f>
        <v>7199.9999999999991</v>
      </c>
      <c r="O61" s="119">
        <f>O60*$E$60</f>
        <v>6100</v>
      </c>
      <c r="P61" s="119">
        <f>P60*$E$60</f>
        <v>10500</v>
      </c>
      <c r="Q61" s="119">
        <f>Q60*$E$60</f>
        <v>6400</v>
      </c>
      <c r="R61" s="119">
        <f>R60*$E$60</f>
        <v>7000.0000000000009</v>
      </c>
      <c r="S61" s="119">
        <f>S60*$E$60</f>
        <v>6100</v>
      </c>
    </row>
    <row r="62" spans="1:19">
      <c r="A62" s="23"/>
      <c r="B62" s="23"/>
      <c r="C62" s="23"/>
      <c r="D62" s="23"/>
      <c r="E62" s="23">
        <v>2025</v>
      </c>
      <c r="F62" s="23">
        <v>2026</v>
      </c>
    </row>
    <row r="63" spans="1:19">
      <c r="A63" s="17" t="s">
        <v>84</v>
      </c>
      <c r="B63" s="10"/>
    </row>
    <row r="64" spans="1:19">
      <c r="A64" t="s">
        <v>85</v>
      </c>
      <c r="B64" s="5" t="s">
        <v>86</v>
      </c>
      <c r="D64" s="36">
        <v>45658</v>
      </c>
      <c r="E64" s="35">
        <v>39000</v>
      </c>
      <c r="F64" s="1">
        <v>0</v>
      </c>
    </row>
    <row r="65" spans="1:6">
      <c r="A65" t="s">
        <v>87</v>
      </c>
      <c r="B65" s="22">
        <v>3</v>
      </c>
    </row>
    <row r="66" spans="1:6">
      <c r="A66" t="s">
        <v>88</v>
      </c>
      <c r="E66" s="1">
        <f>E64/B65</f>
        <v>13000</v>
      </c>
      <c r="F66" s="1">
        <f>(E64+F64)/B65</f>
        <v>13000</v>
      </c>
    </row>
    <row r="67" spans="1:6">
      <c r="A67" t="s">
        <v>89</v>
      </c>
      <c r="B67" s="5" t="s">
        <v>90</v>
      </c>
      <c r="D67" s="36">
        <v>45658</v>
      </c>
      <c r="E67" s="35">
        <v>65000</v>
      </c>
      <c r="F67" s="1">
        <v>0</v>
      </c>
    </row>
    <row r="68" spans="1:6">
      <c r="A68" t="s">
        <v>87</v>
      </c>
      <c r="B68" s="22">
        <v>13</v>
      </c>
    </row>
    <row r="69" spans="1:6">
      <c r="A69" t="s">
        <v>91</v>
      </c>
      <c r="E69" s="7">
        <f>E67/B68</f>
        <v>5000</v>
      </c>
      <c r="F69" s="1">
        <f>(E67+F67)/B68</f>
        <v>5000</v>
      </c>
    </row>
    <row r="70" spans="1:6">
      <c r="A70" t="s">
        <v>89</v>
      </c>
      <c r="B70" s="5" t="s">
        <v>92</v>
      </c>
      <c r="D70" s="36">
        <v>46023</v>
      </c>
      <c r="F70" s="15">
        <f>I13</f>
        <v>30000</v>
      </c>
    </row>
    <row r="71" spans="1:6">
      <c r="A71" t="s">
        <v>87</v>
      </c>
      <c r="B71" s="22">
        <v>5</v>
      </c>
    </row>
    <row r="72" spans="1:6">
      <c r="A72" t="s">
        <v>93</v>
      </c>
      <c r="F72" s="7">
        <f>F70/B71</f>
        <v>6000</v>
      </c>
    </row>
    <row r="73" spans="1:6">
      <c r="A73" s="5" t="s">
        <v>94</v>
      </c>
      <c r="E73" s="7">
        <f>E64+E67</f>
        <v>104000</v>
      </c>
      <c r="F73" s="7">
        <f>F70</f>
        <v>30000</v>
      </c>
    </row>
    <row r="74" spans="1:6">
      <c r="A74" s="5" t="s">
        <v>95</v>
      </c>
      <c r="E74" s="1">
        <f>E66+E69</f>
        <v>18000</v>
      </c>
      <c r="F74" s="7">
        <f>F66+F69+F72</f>
        <v>24000</v>
      </c>
    </row>
    <row r="77" spans="1:6">
      <c r="A77" s="23"/>
      <c r="B77" s="23"/>
      <c r="C77" s="23"/>
      <c r="D77" s="23">
        <v>2024</v>
      </c>
      <c r="E77" s="23">
        <v>2025</v>
      </c>
      <c r="F77" s="23">
        <v>2026</v>
      </c>
    </row>
    <row r="78" spans="1:6">
      <c r="A78" s="17" t="s">
        <v>96</v>
      </c>
      <c r="B78" s="10"/>
    </row>
    <row r="79" spans="1:6">
      <c r="A79" s="18" t="s">
        <v>97</v>
      </c>
      <c r="D79" s="1">
        <v>0</v>
      </c>
    </row>
    <row r="80" spans="1:6">
      <c r="A80" t="s">
        <v>98</v>
      </c>
      <c r="B80" t="s">
        <v>99</v>
      </c>
      <c r="D80" s="32">
        <v>0</v>
      </c>
    </row>
    <row r="81" spans="1:5">
      <c r="B81" t="s">
        <v>100</v>
      </c>
      <c r="D81" s="33">
        <v>100000</v>
      </c>
    </row>
    <row r="82" spans="1:5">
      <c r="A82" t="s">
        <v>101</v>
      </c>
      <c r="D82" s="7">
        <f>SUM(D80:D81)</f>
        <v>100000</v>
      </c>
    </row>
    <row r="83" spans="1:5">
      <c r="A83" t="s">
        <v>102</v>
      </c>
      <c r="B83" t="s">
        <v>103</v>
      </c>
      <c r="D83" s="33">
        <v>50000</v>
      </c>
    </row>
    <row r="84" spans="1:5">
      <c r="B84" t="s">
        <v>104</v>
      </c>
      <c r="D84" s="33">
        <v>30000</v>
      </c>
    </row>
    <row r="85" spans="1:5" ht="15.75" customHeight="1">
      <c r="B85" t="s">
        <v>105</v>
      </c>
      <c r="D85" s="33">
        <v>20000</v>
      </c>
      <c r="E85" s="18" t="s">
        <v>106</v>
      </c>
    </row>
    <row r="86" spans="1:5">
      <c r="A86" t="s">
        <v>107</v>
      </c>
      <c r="B86" t="s">
        <v>108</v>
      </c>
      <c r="D86" s="1">
        <v>0</v>
      </c>
    </row>
    <row r="87" spans="1:5">
      <c r="A87" t="s">
        <v>101</v>
      </c>
      <c r="D87" s="7">
        <f>SUM(D83:D85)</f>
        <v>100000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B337-EC9B-4D4F-9904-ED6D271B561F}">
  <sheetPr>
    <tabColor rgb="FF92D050"/>
  </sheetPr>
  <dimension ref="D12:O18"/>
  <sheetViews>
    <sheetView workbookViewId="0">
      <selection activeCell="D13" sqref="D13"/>
    </sheetView>
  </sheetViews>
  <sheetFormatPr defaultRowHeight="15" outlineLevelCol="1"/>
  <cols>
    <col min="4" max="7" width="10.7109375" customWidth="1" outlineLevel="1"/>
    <col min="8" max="8" width="11.85546875" customWidth="1" outlineLevel="1"/>
    <col min="9" max="11" width="10.7109375" customWidth="1" outlineLevel="1"/>
    <col min="12" max="12" width="11.85546875" customWidth="1" outlineLevel="1"/>
    <col min="13" max="15" width="10.7109375" customWidth="1" outlineLevel="1"/>
    <col min="16" max="16" width="13" bestFit="1" customWidth="1"/>
  </cols>
  <sheetData>
    <row r="12" spans="12:12">
      <c r="L12" s="1"/>
    </row>
    <row r="18" spans="6:6">
      <c r="F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6683-ABD3-4059-8C37-C717730CF6AA}">
  <sheetPr>
    <tabColor rgb="FF92D05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A015-1710-4852-9955-905E3089CEAA}">
  <dimension ref="A2:AA12"/>
  <sheetViews>
    <sheetView workbookViewId="0">
      <selection activeCell="E14" sqref="E14"/>
    </sheetView>
  </sheetViews>
  <sheetFormatPr defaultRowHeight="15" outlineLevelCol="1"/>
  <cols>
    <col min="1" max="1" width="20.42578125" customWidth="1"/>
    <col min="2" max="13" width="10.7109375" customWidth="1" outlineLevel="1"/>
    <col min="14" max="14" width="13.85546875" bestFit="1" customWidth="1"/>
    <col min="15" max="26" width="10.7109375" customWidth="1" outlineLevel="1"/>
    <col min="27" max="27" width="13.85546875" bestFit="1" customWidth="1"/>
  </cols>
  <sheetData>
    <row r="2" spans="1:27">
      <c r="N2" s="37" t="s">
        <v>109</v>
      </c>
      <c r="AA2" s="37" t="s">
        <v>109</v>
      </c>
    </row>
    <row r="3" spans="1:27">
      <c r="B3" s="45" t="s">
        <v>110</v>
      </c>
      <c r="C3" s="45" t="s">
        <v>111</v>
      </c>
      <c r="D3" s="45" t="s">
        <v>112</v>
      </c>
      <c r="E3" s="45" t="s">
        <v>113</v>
      </c>
      <c r="F3" s="45" t="s">
        <v>114</v>
      </c>
      <c r="G3" s="45" t="s">
        <v>115</v>
      </c>
      <c r="H3" s="45" t="s">
        <v>116</v>
      </c>
      <c r="I3" s="45" t="s">
        <v>117</v>
      </c>
      <c r="J3" s="45" t="s">
        <v>118</v>
      </c>
      <c r="K3" s="45" t="s">
        <v>119</v>
      </c>
      <c r="L3" s="45" t="s">
        <v>120</v>
      </c>
      <c r="M3" s="45" t="s">
        <v>121</v>
      </c>
      <c r="N3" s="38">
        <v>2025</v>
      </c>
      <c r="O3" s="45" t="s">
        <v>110</v>
      </c>
      <c r="P3" s="45" t="s">
        <v>111</v>
      </c>
      <c r="Q3" s="45" t="s">
        <v>112</v>
      </c>
      <c r="R3" s="45" t="s">
        <v>113</v>
      </c>
      <c r="S3" s="45" t="s">
        <v>114</v>
      </c>
      <c r="T3" s="45" t="s">
        <v>115</v>
      </c>
      <c r="U3" s="45" t="s">
        <v>116</v>
      </c>
      <c r="V3" s="45" t="s">
        <v>117</v>
      </c>
      <c r="W3" s="45" t="s">
        <v>118</v>
      </c>
      <c r="X3" s="45" t="s">
        <v>119</v>
      </c>
      <c r="Y3" s="45" t="s">
        <v>120</v>
      </c>
      <c r="Z3" s="45" t="s">
        <v>121</v>
      </c>
      <c r="AA3" s="38">
        <v>2026</v>
      </c>
    </row>
    <row r="4" spans="1:27">
      <c r="A4" s="5" t="s">
        <v>122</v>
      </c>
      <c r="B4" s="8">
        <v>0.05</v>
      </c>
      <c r="C4" s="8">
        <v>0.1</v>
      </c>
      <c r="D4" s="8">
        <v>0.1</v>
      </c>
      <c r="E4" s="8">
        <v>0.08</v>
      </c>
      <c r="F4" s="8">
        <v>0.05</v>
      </c>
      <c r="G4" s="8">
        <v>0.1</v>
      </c>
      <c r="H4" s="8">
        <v>0.05</v>
      </c>
      <c r="I4" s="8">
        <v>0.05</v>
      </c>
      <c r="J4" s="8">
        <v>0.15</v>
      </c>
      <c r="K4" s="8">
        <v>0.1</v>
      </c>
      <c r="L4" s="8">
        <v>0.08</v>
      </c>
      <c r="M4" s="8">
        <v>0.09</v>
      </c>
      <c r="O4" s="8">
        <v>0.05</v>
      </c>
      <c r="P4" s="8">
        <v>0.1</v>
      </c>
      <c r="Q4" s="8">
        <v>0.1</v>
      </c>
      <c r="R4" s="8">
        <v>0.08</v>
      </c>
      <c r="S4" s="8">
        <v>0.05</v>
      </c>
      <c r="T4" s="8">
        <v>0.1</v>
      </c>
      <c r="U4" s="8">
        <v>0.05</v>
      </c>
      <c r="V4" s="8">
        <v>0.05</v>
      </c>
      <c r="W4" s="8">
        <v>0.15</v>
      </c>
      <c r="X4" s="8">
        <v>0.1</v>
      </c>
      <c r="Y4" s="8">
        <v>0.08</v>
      </c>
      <c r="Z4" s="8">
        <v>0.09</v>
      </c>
    </row>
    <row r="5" spans="1:27">
      <c r="A5" s="5"/>
    </row>
    <row r="6" spans="1:27" s="59" customFormat="1">
      <c r="A6" s="59" t="s">
        <v>123</v>
      </c>
      <c r="B6" s="60">
        <f>$N$6*B4</f>
        <v>71999.995391999997</v>
      </c>
      <c r="C6" s="60">
        <f>$N$6*C4</f>
        <v>143999.99078399999</v>
      </c>
      <c r="D6" s="60">
        <f>$N$6*D4</f>
        <v>143999.99078399999</v>
      </c>
      <c r="E6" s="60">
        <f>$N$6*E4</f>
        <v>115199.9926272</v>
      </c>
      <c r="F6" s="60">
        <f>$N$6*F4</f>
        <v>71999.995391999997</v>
      </c>
      <c r="G6" s="60">
        <f>$N$6*G4</f>
        <v>143999.99078399999</v>
      </c>
      <c r="H6" s="60">
        <f>$N$6*H4</f>
        <v>71999.995391999997</v>
      </c>
      <c r="I6" s="60">
        <f>$N$6*I4</f>
        <v>71999.995391999997</v>
      </c>
      <c r="J6" s="60">
        <f>$N$6*J4</f>
        <v>215999.98617600001</v>
      </c>
      <c r="K6" s="60">
        <f>$N$6*K4</f>
        <v>143999.99078399999</v>
      </c>
      <c r="L6" s="60">
        <f>$N$6*L4</f>
        <v>115199.9926272</v>
      </c>
      <c r="M6" s="60">
        <f>$N$6*M4</f>
        <v>129599.9917056</v>
      </c>
      <c r="N6" s="60">
        <f>Annahmen!$E$46</f>
        <v>1439999.90784</v>
      </c>
      <c r="O6" s="60">
        <f>$AA$6*O4</f>
        <v>71999.995391999997</v>
      </c>
      <c r="P6" s="60">
        <f>$AA$6*P4</f>
        <v>143999.99078399999</v>
      </c>
      <c r="Q6" s="60">
        <f>$AA$6*Q4</f>
        <v>143999.99078399999</v>
      </c>
      <c r="R6" s="60">
        <f>$AA$6*R4</f>
        <v>115199.9926272</v>
      </c>
      <c r="S6" s="60">
        <f>$AA$6*S4</f>
        <v>71999.995391999997</v>
      </c>
      <c r="T6" s="60">
        <f>$AA$6*T4</f>
        <v>143999.99078399999</v>
      </c>
      <c r="U6" s="60">
        <f>$AA$6*U4</f>
        <v>71999.995391999997</v>
      </c>
      <c r="V6" s="60">
        <f>$AA$6*V4</f>
        <v>71999.995391999997</v>
      </c>
      <c r="W6" s="60">
        <f>$AA$6*W4</f>
        <v>215999.98617600001</v>
      </c>
      <c r="X6" s="60">
        <f>$AA$6*X4</f>
        <v>143999.99078399999</v>
      </c>
      <c r="Y6" s="60">
        <f>$AA$6*Y4</f>
        <v>115199.9926272</v>
      </c>
      <c r="Z6" s="60">
        <f>$AA$6*Z4</f>
        <v>129599.9917056</v>
      </c>
      <c r="AA6" s="60">
        <f>Annahmen!$F$46</f>
        <v>1439999.90784</v>
      </c>
    </row>
    <row r="8" spans="1:27">
      <c r="P8" s="5" t="s">
        <v>124</v>
      </c>
    </row>
    <row r="9" spans="1:27">
      <c r="A9" s="5" t="s">
        <v>125</v>
      </c>
      <c r="D9" s="62" t="s">
        <v>110</v>
      </c>
      <c r="E9" s="62" t="s">
        <v>111</v>
      </c>
      <c r="F9" s="62" t="s">
        <v>126</v>
      </c>
      <c r="G9" s="62" t="s">
        <v>113</v>
      </c>
      <c r="H9" s="62" t="s">
        <v>127</v>
      </c>
      <c r="I9" s="62" t="s">
        <v>115</v>
      </c>
      <c r="J9" s="62" t="s">
        <v>116</v>
      </c>
      <c r="K9" s="62" t="s">
        <v>117</v>
      </c>
      <c r="L9" s="62" t="s">
        <v>118</v>
      </c>
      <c r="M9" s="62" t="s">
        <v>128</v>
      </c>
      <c r="N9" s="62" t="s">
        <v>120</v>
      </c>
      <c r="O9" s="62" t="s">
        <v>129</v>
      </c>
      <c r="P9" s="62">
        <v>2025</v>
      </c>
    </row>
    <row r="10" spans="1:27">
      <c r="A10" s="5" t="s">
        <v>130</v>
      </c>
      <c r="D10" s="61">
        <f>D11/$P$11</f>
        <v>7.2999999999999995E-2</v>
      </c>
      <c r="E10" s="61">
        <f>E11/$P$11</f>
        <v>6.0999999999999999E-2</v>
      </c>
      <c r="F10" s="61">
        <f>F11/$P$11</f>
        <v>7.0000000000000007E-2</v>
      </c>
      <c r="G10" s="61">
        <f>G11/$P$11</f>
        <v>6.4000000000000001E-2</v>
      </c>
      <c r="H10" s="61">
        <f>H11/$P$11</f>
        <v>0.23699999999999999</v>
      </c>
      <c r="I10" s="61">
        <f>I11/$P$11</f>
        <v>6.2E-2</v>
      </c>
      <c r="J10" s="61">
        <f>J11/$P$11</f>
        <v>7.1999999999999995E-2</v>
      </c>
      <c r="K10" s="61">
        <f>K11/$P$11</f>
        <v>6.0999999999999999E-2</v>
      </c>
      <c r="L10" s="61">
        <f>L11/$P$11</f>
        <v>0.105</v>
      </c>
      <c r="M10" s="61">
        <f>M11/$P$11</f>
        <v>6.4000000000000001E-2</v>
      </c>
      <c r="N10" s="61">
        <f>N11/$P$11</f>
        <v>7.0000000000000007E-2</v>
      </c>
      <c r="O10" s="61">
        <f>O11/$P$11</f>
        <v>6.0999999999999999E-2</v>
      </c>
      <c r="P10" s="8">
        <f>SUM(D10:O10)</f>
        <v>1</v>
      </c>
    </row>
    <row r="11" spans="1:27">
      <c r="A11" s="5" t="s">
        <v>83</v>
      </c>
      <c r="D11" s="7">
        <v>7300</v>
      </c>
      <c r="E11" s="7">
        <v>6100</v>
      </c>
      <c r="F11" s="7">
        <v>7000</v>
      </c>
      <c r="G11" s="7">
        <v>6400</v>
      </c>
      <c r="H11" s="7">
        <v>23700</v>
      </c>
      <c r="I11" s="7">
        <v>6200</v>
      </c>
      <c r="J11" s="7">
        <v>7200</v>
      </c>
      <c r="K11" s="7">
        <v>6100</v>
      </c>
      <c r="L11" s="7">
        <v>10500</v>
      </c>
      <c r="M11" s="7">
        <v>6400</v>
      </c>
      <c r="N11" s="7">
        <v>7000</v>
      </c>
      <c r="O11" s="7">
        <v>6100</v>
      </c>
      <c r="P11" s="7">
        <f>SUM(D11:O11)</f>
        <v>100000</v>
      </c>
    </row>
    <row r="12" spans="1:27">
      <c r="A12" s="5" t="s">
        <v>131</v>
      </c>
      <c r="D12" s="7">
        <v>3750</v>
      </c>
      <c r="E12" s="7">
        <v>3750</v>
      </c>
      <c r="F12" s="7">
        <v>3750</v>
      </c>
      <c r="G12" s="7">
        <v>3750</v>
      </c>
      <c r="H12" s="7">
        <v>3750</v>
      </c>
      <c r="I12" s="7">
        <v>3750</v>
      </c>
      <c r="J12" s="7">
        <v>3750</v>
      </c>
      <c r="K12" s="7">
        <v>3750</v>
      </c>
      <c r="L12" s="7">
        <v>3750</v>
      </c>
      <c r="M12" s="7">
        <v>3750</v>
      </c>
      <c r="N12" s="7">
        <v>3750</v>
      </c>
      <c r="O12" s="7">
        <v>3750</v>
      </c>
      <c r="P12" s="7">
        <f>SUM(D12:O12)</f>
        <v>45000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F4849-42BC-4CE8-B4A7-27323F3DF716}">
  <dimension ref="A1:R21"/>
  <sheetViews>
    <sheetView workbookViewId="0">
      <selection activeCell="F18" sqref="F18"/>
    </sheetView>
  </sheetViews>
  <sheetFormatPr defaultRowHeight="15"/>
  <cols>
    <col min="2" max="2" width="21.85546875" customWidth="1"/>
    <col min="3" max="4" width="10.7109375" bestFit="1" customWidth="1"/>
    <col min="5" max="6" width="19.140625" customWidth="1"/>
    <col min="7" max="18" width="13" bestFit="1" customWidth="1"/>
  </cols>
  <sheetData>
    <row r="1" spans="1:18">
      <c r="B1" t="s">
        <v>132</v>
      </c>
      <c r="C1" s="47"/>
      <c r="F1" s="47"/>
    </row>
    <row r="2" spans="1:18">
      <c r="A2" s="40"/>
      <c r="B2" s="40"/>
      <c r="C2" s="47"/>
      <c r="D2" s="40"/>
      <c r="E2" s="110" t="s">
        <v>133</v>
      </c>
      <c r="F2" s="111"/>
      <c r="G2" s="48">
        <f>2025</f>
        <v>2025</v>
      </c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</row>
    <row r="3" spans="1:18">
      <c r="A3" s="49"/>
      <c r="B3" s="50"/>
      <c r="C3" s="51"/>
      <c r="D3" s="52"/>
      <c r="E3" s="112"/>
      <c r="F3" s="113"/>
      <c r="G3" s="53">
        <v>45658</v>
      </c>
      <c r="H3" s="53">
        <v>45689</v>
      </c>
      <c r="I3" s="53">
        <v>45717</v>
      </c>
      <c r="J3" s="53">
        <v>45748</v>
      </c>
      <c r="K3" s="53">
        <v>45778</v>
      </c>
      <c r="L3" s="53">
        <v>45809</v>
      </c>
      <c r="M3" s="53">
        <v>45839</v>
      </c>
      <c r="N3" s="53">
        <v>45870</v>
      </c>
      <c r="O3" s="53">
        <v>45901</v>
      </c>
      <c r="P3" s="53">
        <v>45931</v>
      </c>
      <c r="Q3" s="53">
        <v>45962</v>
      </c>
      <c r="R3" s="53">
        <v>45992</v>
      </c>
    </row>
    <row r="4" spans="1:18">
      <c r="A4" s="107" t="s">
        <v>134</v>
      </c>
      <c r="B4" s="108"/>
      <c r="C4" s="109"/>
      <c r="D4" s="42"/>
      <c r="E4" s="41"/>
      <c r="F4" s="77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</row>
    <row r="5" spans="1:18">
      <c r="A5" s="43"/>
      <c r="B5" s="39"/>
      <c r="C5" s="46"/>
      <c r="D5" s="44"/>
      <c r="F5" s="78"/>
    </row>
    <row r="6" spans="1:18">
      <c r="A6" s="43">
        <v>1</v>
      </c>
      <c r="B6" s="40" t="s">
        <v>135</v>
      </c>
      <c r="C6" s="47">
        <f>Annahmen!E49</f>
        <v>40</v>
      </c>
      <c r="D6" s="127">
        <f>Annahmen!D49</f>
        <v>7000</v>
      </c>
      <c r="E6" s="121">
        <f>Annahmen!G49</f>
        <v>7000</v>
      </c>
      <c r="F6" s="122">
        <v>45658</v>
      </c>
      <c r="G6" s="121">
        <f>$E$6</f>
        <v>7000</v>
      </c>
      <c r="H6" s="121">
        <f>$E$6</f>
        <v>7000</v>
      </c>
      <c r="I6" s="121">
        <f>$E$6</f>
        <v>7000</v>
      </c>
      <c r="J6" s="121">
        <f>$E$6</f>
        <v>7000</v>
      </c>
      <c r="K6" s="121">
        <f>$E$6</f>
        <v>7000</v>
      </c>
      <c r="L6" s="121">
        <f>$E$6</f>
        <v>7000</v>
      </c>
      <c r="M6" s="121">
        <f>$E$6</f>
        <v>7000</v>
      </c>
      <c r="N6" s="121">
        <f>$E$6</f>
        <v>7000</v>
      </c>
      <c r="O6" s="121">
        <f>$E$6</f>
        <v>7000</v>
      </c>
      <c r="P6" s="121">
        <f>$E$6</f>
        <v>7000</v>
      </c>
      <c r="Q6" s="121">
        <f>$E$6</f>
        <v>7000</v>
      </c>
      <c r="R6" s="121">
        <f>$E$6</f>
        <v>7000</v>
      </c>
    </row>
    <row r="7" spans="1:18">
      <c r="A7" s="43">
        <f>Annahmen!C50</f>
        <v>1</v>
      </c>
      <c r="B7" s="40" t="s">
        <v>71</v>
      </c>
      <c r="C7" s="47">
        <f>Annahmen!E50</f>
        <v>40</v>
      </c>
      <c r="D7" s="127">
        <f>Annahmen!D50</f>
        <v>3300</v>
      </c>
      <c r="E7" s="121">
        <f>Annahmen!G50</f>
        <v>3300</v>
      </c>
      <c r="F7" s="122">
        <v>45658</v>
      </c>
      <c r="G7" s="121">
        <f>$E$7</f>
        <v>3300</v>
      </c>
      <c r="H7" s="121">
        <f>$E$7</f>
        <v>3300</v>
      </c>
      <c r="I7" s="121">
        <f>$E$7</f>
        <v>3300</v>
      </c>
      <c r="J7" s="121">
        <f>$E$7</f>
        <v>3300</v>
      </c>
      <c r="K7" s="121">
        <f>$E$7</f>
        <v>3300</v>
      </c>
      <c r="L7" s="121">
        <f>$E$7</f>
        <v>3300</v>
      </c>
      <c r="M7" s="121">
        <f>$E$7</f>
        <v>3300</v>
      </c>
      <c r="N7" s="121">
        <f>$E$7</f>
        <v>3300</v>
      </c>
      <c r="O7" s="121">
        <f>$E$7</f>
        <v>3300</v>
      </c>
      <c r="P7" s="121">
        <f>$E$7</f>
        <v>3300</v>
      </c>
      <c r="Q7" s="121">
        <f>$E$7</f>
        <v>3300</v>
      </c>
      <c r="R7" s="121">
        <f>$E$7</f>
        <v>3300</v>
      </c>
    </row>
    <row r="8" spans="1:18">
      <c r="A8" s="43">
        <f>Annahmen!C51</f>
        <v>2</v>
      </c>
      <c r="B8" s="40" t="s">
        <v>72</v>
      </c>
      <c r="C8" s="47">
        <f>Annahmen!E51</f>
        <v>40</v>
      </c>
      <c r="D8" s="127">
        <f>Annahmen!D51</f>
        <v>3300</v>
      </c>
      <c r="E8" s="121">
        <f>Annahmen!G51</f>
        <v>6600</v>
      </c>
      <c r="F8" s="122">
        <v>45658</v>
      </c>
      <c r="G8" s="121">
        <f>$E$8</f>
        <v>6600</v>
      </c>
      <c r="H8" s="121">
        <f>$E$8</f>
        <v>6600</v>
      </c>
      <c r="I8" s="121">
        <f>$E$8</f>
        <v>6600</v>
      </c>
      <c r="J8" s="121">
        <f>$E$8</f>
        <v>6600</v>
      </c>
      <c r="K8" s="121">
        <f>$E$8</f>
        <v>6600</v>
      </c>
      <c r="L8" s="121">
        <f>$E$8</f>
        <v>6600</v>
      </c>
      <c r="M8" s="121">
        <f>$E$8</f>
        <v>6600</v>
      </c>
      <c r="N8" s="121">
        <f>$E$8</f>
        <v>6600</v>
      </c>
      <c r="O8" s="121">
        <f>$E$8</f>
        <v>6600</v>
      </c>
      <c r="P8" s="121">
        <f>$E$8</f>
        <v>6600</v>
      </c>
      <c r="Q8" s="121">
        <f>$E$8</f>
        <v>6600</v>
      </c>
      <c r="R8" s="121">
        <f>$E$8</f>
        <v>6600</v>
      </c>
    </row>
    <row r="9" spans="1:18">
      <c r="A9" s="43">
        <f>Annahmen!C52</f>
        <v>1</v>
      </c>
      <c r="B9" s="40" t="s">
        <v>136</v>
      </c>
      <c r="C9" s="47">
        <f>Annahmen!E52</f>
        <v>40</v>
      </c>
      <c r="D9" s="127">
        <f>Annahmen!D52</f>
        <v>3300</v>
      </c>
      <c r="E9" s="121">
        <f>Annahmen!G52</f>
        <v>3300</v>
      </c>
      <c r="F9" s="122">
        <v>45658</v>
      </c>
      <c r="G9" s="121">
        <f>$E$9</f>
        <v>3300</v>
      </c>
      <c r="H9" s="121">
        <f>$E$9</f>
        <v>3300</v>
      </c>
      <c r="I9" s="121">
        <f>$E$9</f>
        <v>3300</v>
      </c>
      <c r="J9" s="121">
        <f>$E$9</f>
        <v>3300</v>
      </c>
      <c r="K9" s="121">
        <f>$E$9</f>
        <v>3300</v>
      </c>
      <c r="L9" s="121">
        <f>$E$9</f>
        <v>3300</v>
      </c>
      <c r="M9" s="121">
        <f>$E$9</f>
        <v>3300</v>
      </c>
      <c r="N9" s="121">
        <f>$E$9</f>
        <v>3300</v>
      </c>
      <c r="O9" s="121">
        <f>$E$9</f>
        <v>3300</v>
      </c>
      <c r="P9" s="121">
        <f>$E$9</f>
        <v>3300</v>
      </c>
      <c r="Q9" s="121">
        <f>$E$9</f>
        <v>3300</v>
      </c>
      <c r="R9" s="121">
        <f>$E$9</f>
        <v>3300</v>
      </c>
    </row>
    <row r="10" spans="1:18">
      <c r="A10" s="43">
        <f>Annahmen!C54</f>
        <v>15</v>
      </c>
      <c r="B10" s="40" t="s">
        <v>74</v>
      </c>
      <c r="C10" s="47">
        <f>Annahmen!E53</f>
        <v>40</v>
      </c>
      <c r="D10" s="127">
        <f>Annahmen!D53</f>
        <v>4300</v>
      </c>
      <c r="E10" s="121">
        <f>Annahmen!G53</f>
        <v>64500</v>
      </c>
      <c r="F10" s="122">
        <v>45658</v>
      </c>
      <c r="G10" s="121">
        <f>$E$10</f>
        <v>64500</v>
      </c>
      <c r="H10" s="121">
        <f>$E$10</f>
        <v>64500</v>
      </c>
      <c r="I10" s="121">
        <f>$E$10</f>
        <v>64500</v>
      </c>
      <c r="J10" s="121">
        <f>$E$10</f>
        <v>64500</v>
      </c>
      <c r="K10" s="121">
        <f>$E$10</f>
        <v>64500</v>
      </c>
      <c r="L10" s="121">
        <f>$E$10</f>
        <v>64500</v>
      </c>
      <c r="M10" s="121">
        <f>$E$10</f>
        <v>64500</v>
      </c>
      <c r="N10" s="121">
        <f>$E$10</f>
        <v>64500</v>
      </c>
      <c r="O10" s="121">
        <f>$E$10</f>
        <v>64500</v>
      </c>
      <c r="P10" s="121">
        <f>$E$10</f>
        <v>64500</v>
      </c>
      <c r="Q10" s="121">
        <f>$E$10</f>
        <v>64500</v>
      </c>
      <c r="R10" s="121">
        <f>$E$10</f>
        <v>64500</v>
      </c>
    </row>
    <row r="11" spans="1:18">
      <c r="A11" s="54"/>
      <c r="B11" s="55"/>
      <c r="C11" s="56"/>
      <c r="D11" s="128"/>
      <c r="E11" s="123"/>
      <c r="F11" s="79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</row>
    <row r="12" spans="1:18">
      <c r="A12" s="57"/>
      <c r="B12" s="64" t="s">
        <v>137</v>
      </c>
      <c r="C12" s="68"/>
      <c r="D12" s="124"/>
      <c r="E12" s="124"/>
      <c r="F12" s="80"/>
      <c r="G12" s="124">
        <f>SUM(G6:G10)</f>
        <v>84700</v>
      </c>
      <c r="H12" s="124">
        <f>SUM(H6:H10)</f>
        <v>84700</v>
      </c>
      <c r="I12" s="124">
        <f>SUM(I6:I10)</f>
        <v>84700</v>
      </c>
      <c r="J12" s="124">
        <f>SUM(J6:J10)</f>
        <v>84700</v>
      </c>
      <c r="K12" s="124">
        <f>SUM(K6:K10)</f>
        <v>84700</v>
      </c>
      <c r="L12" s="124">
        <f>SUM(L6:L10)</f>
        <v>84700</v>
      </c>
      <c r="M12" s="124">
        <f>SUM(M6:M10)</f>
        <v>84700</v>
      </c>
      <c r="N12" s="124">
        <f>SUM(N6:N10)</f>
        <v>84700</v>
      </c>
      <c r="O12" s="124">
        <f>SUM(O6:O10)</f>
        <v>84700</v>
      </c>
      <c r="P12" s="124">
        <f>SUM(P6:P10)</f>
        <v>84700</v>
      </c>
      <c r="Q12" s="124">
        <f>SUM(Q6:Q10)</f>
        <v>84700</v>
      </c>
      <c r="R12" s="124">
        <f>SUM(R6:R10)</f>
        <v>84700</v>
      </c>
    </row>
    <row r="13" spans="1:18" ht="30.75" customHeight="1">
      <c r="A13" s="114" t="s">
        <v>138</v>
      </c>
      <c r="B13" s="114"/>
      <c r="C13" s="115"/>
      <c r="D13" s="125"/>
      <c r="E13" s="125"/>
      <c r="F13" s="81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</row>
    <row r="14" spans="1:18">
      <c r="C14" s="47"/>
      <c r="D14" s="121"/>
      <c r="E14" s="121"/>
      <c r="F14" s="78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</row>
    <row r="15" spans="1:18">
      <c r="A15">
        <v>15</v>
      </c>
      <c r="B15" t="s">
        <v>75</v>
      </c>
      <c r="C15" s="47"/>
      <c r="D15" s="121">
        <f>Annahmen!D54</f>
        <v>700</v>
      </c>
      <c r="E15" s="121">
        <f>Annahmen!H54</f>
        <v>10500</v>
      </c>
      <c r="F15" s="122">
        <v>46023</v>
      </c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</row>
    <row r="16" spans="1:18">
      <c r="A16" s="55"/>
      <c r="B16" s="55"/>
      <c r="C16" s="56"/>
      <c r="D16" s="55"/>
      <c r="E16" s="55"/>
      <c r="F16" s="79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</row>
    <row r="17" spans="1:18">
      <c r="A17" s="57"/>
      <c r="B17" s="64" t="s">
        <v>139</v>
      </c>
      <c r="C17" s="68"/>
      <c r="D17" s="57"/>
      <c r="E17" s="57"/>
      <c r="F17" s="80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</row>
    <row r="18" spans="1:18" ht="30" customHeight="1">
      <c r="A18" s="114" t="s">
        <v>140</v>
      </c>
      <c r="B18" s="114"/>
      <c r="C18" s="115"/>
      <c r="D18" s="58"/>
      <c r="E18" s="58"/>
      <c r="F18" s="81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</row>
    <row r="19" spans="1:18">
      <c r="B19" t="s">
        <v>141</v>
      </c>
      <c r="C19" s="47"/>
      <c r="F19" s="78"/>
      <c r="G19" s="121">
        <f>G12</f>
        <v>84700</v>
      </c>
      <c r="H19" s="121">
        <f>H12</f>
        <v>84700</v>
      </c>
      <c r="I19" s="121">
        <f>I12</f>
        <v>84700</v>
      </c>
      <c r="J19" s="121">
        <f>J12</f>
        <v>84700</v>
      </c>
      <c r="K19" s="121">
        <f>K12</f>
        <v>84700</v>
      </c>
      <c r="L19" s="121">
        <f>L12</f>
        <v>84700</v>
      </c>
      <c r="M19" s="121">
        <f>M12</f>
        <v>84700</v>
      </c>
      <c r="N19" s="121">
        <f>N12</f>
        <v>84700</v>
      </c>
      <c r="O19" s="121">
        <f>O12</f>
        <v>84700</v>
      </c>
      <c r="P19" s="121">
        <f>P12</f>
        <v>84700</v>
      </c>
      <c r="Q19" s="121">
        <f>Q12</f>
        <v>84700</v>
      </c>
      <c r="R19" s="121">
        <f>R12</f>
        <v>84700</v>
      </c>
    </row>
    <row r="20" spans="1:18">
      <c r="A20" s="55"/>
      <c r="B20" s="55" t="s">
        <v>142</v>
      </c>
      <c r="C20" s="69">
        <f>Annahmen!I48</f>
        <v>0.21999199999999999</v>
      </c>
      <c r="D20" s="55"/>
      <c r="E20" s="55"/>
      <c r="F20" s="79"/>
      <c r="G20" s="123">
        <f>G19*$C$20</f>
        <v>18633.322400000001</v>
      </c>
      <c r="H20" s="123">
        <f>H19*$C$20</f>
        <v>18633.322400000001</v>
      </c>
      <c r="I20" s="123">
        <f>I19*$C$20</f>
        <v>18633.322400000001</v>
      </c>
      <c r="J20" s="123">
        <f>J19*$C$20</f>
        <v>18633.322400000001</v>
      </c>
      <c r="K20" s="123">
        <f>K19*$C$20</f>
        <v>18633.322400000001</v>
      </c>
      <c r="L20" s="123">
        <f>L19*$C$20</f>
        <v>18633.322400000001</v>
      </c>
      <c r="M20" s="123">
        <f>M19*$C$20</f>
        <v>18633.322400000001</v>
      </c>
      <c r="N20" s="123">
        <f>N19*$C$20</f>
        <v>18633.322400000001</v>
      </c>
      <c r="O20" s="123">
        <f>O19*$C$20</f>
        <v>18633.322400000001</v>
      </c>
      <c r="P20" s="123">
        <f>P19*$C$20</f>
        <v>18633.322400000001</v>
      </c>
      <c r="Q20" s="123">
        <f>Q19*$C$20</f>
        <v>18633.322400000001</v>
      </c>
      <c r="R20" s="123">
        <f>R19*$C$20</f>
        <v>18633.322400000001</v>
      </c>
    </row>
    <row r="21" spans="1:18">
      <c r="A21" s="64"/>
      <c r="B21" s="64" t="s">
        <v>143</v>
      </c>
      <c r="C21" s="70"/>
      <c r="D21" s="64"/>
      <c r="E21" s="64"/>
      <c r="F21" s="82"/>
      <c r="G21" s="126">
        <f>SUM(G19:G20)</f>
        <v>103333.3224</v>
      </c>
      <c r="H21" s="126">
        <f>SUM(H19:H20)</f>
        <v>103333.3224</v>
      </c>
      <c r="I21" s="126">
        <f>SUM(I19:I20)</f>
        <v>103333.3224</v>
      </c>
      <c r="J21" s="126">
        <f>SUM(J19:J20)</f>
        <v>103333.3224</v>
      </c>
      <c r="K21" s="126">
        <f>SUM(K19:K20)</f>
        <v>103333.3224</v>
      </c>
      <c r="L21" s="126">
        <f>SUM(L19:L20)</f>
        <v>103333.3224</v>
      </c>
      <c r="M21" s="126">
        <f>SUM(M19:M20)</f>
        <v>103333.3224</v>
      </c>
      <c r="N21" s="126">
        <f>SUM(N19:N20)</f>
        <v>103333.3224</v>
      </c>
      <c r="O21" s="126">
        <f>SUM(O19:O20)</f>
        <v>103333.3224</v>
      </c>
      <c r="P21" s="126">
        <f>SUM(P19:P20)</f>
        <v>103333.3224</v>
      </c>
      <c r="Q21" s="126">
        <f>SUM(Q19:Q20)</f>
        <v>103333.3224</v>
      </c>
      <c r="R21" s="126">
        <f>SUM(R19:R20)</f>
        <v>103333.3224</v>
      </c>
    </row>
  </sheetData>
  <mergeCells count="4">
    <mergeCell ref="A4:C4"/>
    <mergeCell ref="E2:F3"/>
    <mergeCell ref="A13:C13"/>
    <mergeCell ref="A18:C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D23B-F649-4B7B-8294-937E0566E478}">
  <dimension ref="A1:AA6"/>
  <sheetViews>
    <sheetView workbookViewId="0">
      <selection activeCell="U12" sqref="U12"/>
    </sheetView>
  </sheetViews>
  <sheetFormatPr defaultRowHeight="15"/>
  <cols>
    <col min="1" max="1" width="22" customWidth="1"/>
    <col min="2" max="2" width="9.28515625" style="63" bestFit="1" customWidth="1"/>
    <col min="3" max="13" width="9.28515625" style="40" bestFit="1" customWidth="1"/>
    <col min="14" max="14" width="13.5703125" style="67" customWidth="1"/>
    <col min="19" max="19" width="9.5703125" bestFit="1" customWidth="1"/>
    <col min="23" max="23" width="9.5703125" bestFit="1" customWidth="1"/>
    <col min="27" max="27" width="12.28515625" style="67" customWidth="1"/>
  </cols>
  <sheetData>
    <row r="1" spans="1:27">
      <c r="B1" s="72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71" t="s">
        <v>109</v>
      </c>
      <c r="O1" s="72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71" t="s">
        <v>109</v>
      </c>
    </row>
    <row r="2" spans="1:27" s="66" customFormat="1">
      <c r="A2" s="66" t="s">
        <v>144</v>
      </c>
      <c r="B2" s="73" t="s">
        <v>110</v>
      </c>
      <c r="C2" s="74" t="s">
        <v>111</v>
      </c>
      <c r="D2" s="74" t="s">
        <v>112</v>
      </c>
      <c r="E2" s="74" t="s">
        <v>113</v>
      </c>
      <c r="F2" s="74" t="s">
        <v>114</v>
      </c>
      <c r="G2" s="74" t="s">
        <v>115</v>
      </c>
      <c r="H2" s="74" t="s">
        <v>116</v>
      </c>
      <c r="I2" s="74" t="s">
        <v>117</v>
      </c>
      <c r="J2" s="74" t="s">
        <v>118</v>
      </c>
      <c r="K2" s="74" t="s">
        <v>119</v>
      </c>
      <c r="L2" s="74" t="s">
        <v>120</v>
      </c>
      <c r="M2" s="74" t="s">
        <v>121</v>
      </c>
      <c r="N2" s="71">
        <v>2025</v>
      </c>
      <c r="O2" s="73" t="s">
        <v>110</v>
      </c>
      <c r="P2" s="74" t="s">
        <v>111</v>
      </c>
      <c r="Q2" s="74" t="s">
        <v>112</v>
      </c>
      <c r="R2" s="74" t="s">
        <v>113</v>
      </c>
      <c r="S2" s="74" t="s">
        <v>114</v>
      </c>
      <c r="T2" s="74" t="s">
        <v>115</v>
      </c>
      <c r="U2" s="74" t="s">
        <v>116</v>
      </c>
      <c r="V2" s="74" t="s">
        <v>117</v>
      </c>
      <c r="W2" s="74" t="s">
        <v>118</v>
      </c>
      <c r="X2" s="74" t="s">
        <v>119</v>
      </c>
      <c r="Y2" s="74" t="s">
        <v>120</v>
      </c>
      <c r="Z2" s="74" t="s">
        <v>121</v>
      </c>
      <c r="AA2" s="71">
        <v>2026</v>
      </c>
    </row>
    <row r="3" spans="1:27">
      <c r="B3" s="72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71"/>
      <c r="O3" s="72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71"/>
    </row>
    <row r="4" spans="1:27">
      <c r="A4" t="s">
        <v>130</v>
      </c>
      <c r="B4" s="75">
        <f>Annahmen!H60</f>
        <v>7.2999999999999995E-2</v>
      </c>
      <c r="C4" s="76">
        <f>Annahmen!I60</f>
        <v>6.0999999999999999E-2</v>
      </c>
      <c r="D4" s="76">
        <f>Annahmen!J60</f>
        <v>7.0000000000000007E-2</v>
      </c>
      <c r="E4" s="76">
        <f>Annahmen!K60</f>
        <v>6.4000000000000001E-2</v>
      </c>
      <c r="F4" s="76">
        <f>Annahmen!L60</f>
        <v>0.23699999999999999</v>
      </c>
      <c r="G4" s="76">
        <f>Annahmen!M60</f>
        <v>6.2E-2</v>
      </c>
      <c r="H4" s="76">
        <f>Annahmen!N60</f>
        <v>7.1999999999999995E-2</v>
      </c>
      <c r="I4" s="76">
        <f>Annahmen!O60</f>
        <v>6.0999999999999999E-2</v>
      </c>
      <c r="J4" s="76">
        <f>Annahmen!P60</f>
        <v>0.105</v>
      </c>
      <c r="K4" s="76">
        <f>Annahmen!Q60</f>
        <v>6.4000000000000001E-2</v>
      </c>
      <c r="L4" s="76">
        <f>Annahmen!R60</f>
        <v>7.0000000000000007E-2</v>
      </c>
      <c r="M4" s="76">
        <f>Annahmen!S60</f>
        <v>6.0999999999999999E-2</v>
      </c>
      <c r="N4" s="118">
        <f>SUM(B4:M4)</f>
        <v>1</v>
      </c>
      <c r="O4" s="120">
        <f>Annahmen!H60</f>
        <v>7.2999999999999995E-2</v>
      </c>
      <c r="P4" s="120">
        <f>Annahmen!I60</f>
        <v>6.0999999999999999E-2</v>
      </c>
      <c r="Q4" s="120">
        <f>Annahmen!J60</f>
        <v>7.0000000000000007E-2</v>
      </c>
      <c r="R4" s="120">
        <f>Annahmen!K60</f>
        <v>6.4000000000000001E-2</v>
      </c>
      <c r="S4" s="120">
        <f>Annahmen!L60</f>
        <v>0.23699999999999999</v>
      </c>
      <c r="T4" s="120">
        <f>Annahmen!M60</f>
        <v>6.2E-2</v>
      </c>
      <c r="U4" s="120">
        <f>Annahmen!N60</f>
        <v>7.1999999999999995E-2</v>
      </c>
      <c r="V4" s="120">
        <f>Annahmen!O60</f>
        <v>6.0999999999999999E-2</v>
      </c>
      <c r="W4" s="120">
        <f>Annahmen!P60</f>
        <v>0.105</v>
      </c>
      <c r="X4" s="120">
        <f>Annahmen!Q60</f>
        <v>6.4000000000000001E-2</v>
      </c>
      <c r="Y4" s="120">
        <f>Annahmen!R60</f>
        <v>7.0000000000000007E-2</v>
      </c>
      <c r="Z4" s="120">
        <f>Annahmen!S60</f>
        <v>6.0999999999999999E-2</v>
      </c>
      <c r="AA4" s="118">
        <f>SUM(O4:Z4)</f>
        <v>1</v>
      </c>
    </row>
    <row r="5" spans="1:27">
      <c r="A5" s="5" t="s">
        <v>131</v>
      </c>
      <c r="B5" s="84">
        <f>$N$5/12</f>
        <v>3750</v>
      </c>
      <c r="C5" s="85">
        <f>$N$5/12</f>
        <v>3750</v>
      </c>
      <c r="D5" s="85">
        <f>$N$5/12</f>
        <v>3750</v>
      </c>
      <c r="E5" s="85">
        <f>$N$5/12</f>
        <v>3750</v>
      </c>
      <c r="F5" s="85">
        <f>$N$5/12</f>
        <v>3750</v>
      </c>
      <c r="G5" s="85">
        <f>$N$5/12</f>
        <v>3750</v>
      </c>
      <c r="H5" s="85">
        <f>$N$5/12</f>
        <v>3750</v>
      </c>
      <c r="I5" s="85">
        <f>$N$5/12</f>
        <v>3750</v>
      </c>
      <c r="J5" s="85">
        <f>$N$5/12</f>
        <v>3750</v>
      </c>
      <c r="K5" s="85">
        <f>$N$5/12</f>
        <v>3750</v>
      </c>
      <c r="L5" s="85">
        <f>$N$5/12</f>
        <v>3750</v>
      </c>
      <c r="M5" s="85">
        <f>$N$5/12</f>
        <v>3750</v>
      </c>
      <c r="N5" s="117">
        <f>Annahmen!E59</f>
        <v>45000</v>
      </c>
      <c r="O5" s="121">
        <f>$AA$5/12</f>
        <v>3750</v>
      </c>
      <c r="P5" s="121">
        <f t="shared" ref="P5:Z5" si="0">$AA$5/12</f>
        <v>3750</v>
      </c>
      <c r="Q5" s="121">
        <f t="shared" si="0"/>
        <v>3750</v>
      </c>
      <c r="R5" s="121">
        <f t="shared" si="0"/>
        <v>3750</v>
      </c>
      <c r="S5" s="121">
        <f t="shared" si="0"/>
        <v>3750</v>
      </c>
      <c r="T5" s="121">
        <f t="shared" si="0"/>
        <v>3750</v>
      </c>
      <c r="U5" s="121">
        <f t="shared" si="0"/>
        <v>3750</v>
      </c>
      <c r="V5" s="121">
        <f t="shared" si="0"/>
        <v>3750</v>
      </c>
      <c r="W5" s="121">
        <f t="shared" si="0"/>
        <v>3750</v>
      </c>
      <c r="X5" s="121">
        <f t="shared" si="0"/>
        <v>3750</v>
      </c>
      <c r="Y5" s="121">
        <f t="shared" si="0"/>
        <v>3750</v>
      </c>
      <c r="Z5" s="121">
        <f t="shared" si="0"/>
        <v>3750</v>
      </c>
      <c r="AA5" s="117">
        <f>Annahmen!E59</f>
        <v>45000</v>
      </c>
    </row>
    <row r="6" spans="1:27">
      <c r="A6" s="5" t="s">
        <v>83</v>
      </c>
      <c r="B6" s="84">
        <f>Annahmen!H61</f>
        <v>7299.9999999999991</v>
      </c>
      <c r="C6" s="85">
        <f>Annahmen!I61</f>
        <v>6100</v>
      </c>
      <c r="D6" s="85">
        <f>Annahmen!J61</f>
        <v>7000.0000000000009</v>
      </c>
      <c r="E6" s="85">
        <f>Annahmen!K61</f>
        <v>6400</v>
      </c>
      <c r="F6" s="85">
        <f>Annahmen!L61</f>
        <v>23700</v>
      </c>
      <c r="G6" s="85">
        <f>Annahmen!M61</f>
        <v>6200</v>
      </c>
      <c r="H6" s="85">
        <f>Annahmen!N61</f>
        <v>7199.9999999999991</v>
      </c>
      <c r="I6" s="85">
        <f>Annahmen!O61</f>
        <v>6100</v>
      </c>
      <c r="J6" s="85">
        <f>Annahmen!P61</f>
        <v>10500</v>
      </c>
      <c r="K6" s="85">
        <f>Annahmen!Q61</f>
        <v>6400</v>
      </c>
      <c r="L6" s="85">
        <f>Annahmen!R61</f>
        <v>7000.0000000000009</v>
      </c>
      <c r="M6" s="85">
        <f>Annahmen!S61</f>
        <v>6100</v>
      </c>
      <c r="N6" s="117">
        <f>Annahmen!E60</f>
        <v>100000</v>
      </c>
      <c r="O6" s="121">
        <f>Annahmen!H61</f>
        <v>7299.9999999999991</v>
      </c>
      <c r="P6" s="121">
        <f>Annahmen!I61</f>
        <v>6100</v>
      </c>
      <c r="Q6" s="121">
        <f>Annahmen!J61</f>
        <v>7000.0000000000009</v>
      </c>
      <c r="R6" s="121">
        <f>Annahmen!K61</f>
        <v>6400</v>
      </c>
      <c r="S6" s="121">
        <f>Annahmen!L61</f>
        <v>23700</v>
      </c>
      <c r="T6" s="121">
        <f>Annahmen!M61</f>
        <v>6200</v>
      </c>
      <c r="U6" s="121">
        <f>Annahmen!N61</f>
        <v>7199.9999999999991</v>
      </c>
      <c r="V6" s="121">
        <f>Annahmen!O61</f>
        <v>6100</v>
      </c>
      <c r="W6" s="121">
        <f>Annahmen!P61</f>
        <v>10500</v>
      </c>
      <c r="X6" s="121">
        <f>Annahmen!Q61</f>
        <v>6400</v>
      </c>
      <c r="Y6" s="121">
        <f>Annahmen!R61</f>
        <v>7000.0000000000009</v>
      </c>
      <c r="Z6" s="121">
        <f>Annahmen!S61</f>
        <v>6100</v>
      </c>
      <c r="AA6" s="117">
        <f>Annahmen!E60</f>
        <v>100000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90DA-86E1-4EDC-BA50-86DC068FB621}">
  <dimension ref="A1:CB18"/>
  <sheetViews>
    <sheetView tabSelected="1" workbookViewId="0">
      <selection activeCell="B5" sqref="B5"/>
    </sheetView>
  </sheetViews>
  <sheetFormatPr defaultColWidth="9.140625" defaultRowHeight="15" outlineLevelCol="1"/>
  <cols>
    <col min="1" max="1" width="14.85546875" customWidth="1"/>
    <col min="2" max="2" width="11.85546875" bestFit="1" customWidth="1"/>
    <col min="3" max="3" width="11.85546875" hidden="1" customWidth="1" outlineLevel="1"/>
    <col min="4" max="4" width="12.140625" hidden="1" customWidth="1" outlineLevel="1"/>
    <col min="5" max="5" width="11.7109375" hidden="1" customWidth="1" outlineLevel="1"/>
    <col min="6" max="6" width="12.28515625" hidden="1" customWidth="1" outlineLevel="1"/>
    <col min="7" max="7" width="11.7109375" hidden="1" customWidth="1" outlineLevel="1"/>
    <col min="8" max="8" width="11.85546875" hidden="1" customWidth="1" outlineLevel="1"/>
    <col min="9" max="9" width="11.42578125" hidden="1" customWidth="1" outlineLevel="1"/>
    <col min="10" max="10" width="12.7109375" hidden="1" customWidth="1" outlineLevel="1"/>
    <col min="11" max="11" width="12.5703125" hidden="1" customWidth="1" outlineLevel="1"/>
    <col min="12" max="12" width="13.28515625" hidden="1" customWidth="1" outlineLevel="1"/>
    <col min="13" max="13" width="12.42578125" hidden="1" customWidth="1" outlineLevel="1"/>
    <col min="14" max="14" width="13.42578125" hidden="1" customWidth="1" outlineLevel="1"/>
    <col min="15" max="15" width="12.140625" customWidth="1" collapsed="1"/>
    <col min="16" max="16" width="10.7109375" hidden="1" customWidth="1" outlineLevel="1"/>
    <col min="17" max="27" width="9.140625" hidden="1" customWidth="1" outlineLevel="1"/>
    <col min="28" max="28" width="12.140625" customWidth="1" collapsed="1"/>
    <col min="29" max="40" width="9.140625" hidden="1" customWidth="1" outlineLevel="1"/>
    <col min="41" max="41" width="12.28515625" customWidth="1" collapsed="1"/>
    <col min="42" max="53" width="0" hidden="1" customWidth="1" outlineLevel="1"/>
    <col min="54" max="54" width="12.140625" customWidth="1" collapsed="1"/>
    <col min="55" max="66" width="0" hidden="1" customWidth="1" outlineLevel="1"/>
    <col min="67" max="67" width="12.42578125" customWidth="1" collapsed="1"/>
    <col min="68" max="79" width="0" hidden="1" customWidth="1" outlineLevel="1"/>
    <col min="80" max="80" width="13.42578125" customWidth="1" collapsed="1"/>
  </cols>
  <sheetData>
    <row r="1" spans="1:80">
      <c r="B1" s="83" t="s">
        <v>145</v>
      </c>
      <c r="C1" s="116" t="s">
        <v>110</v>
      </c>
      <c r="D1" s="116" t="s">
        <v>111</v>
      </c>
      <c r="E1" s="116" t="s">
        <v>112</v>
      </c>
      <c r="F1" s="116" t="s">
        <v>113</v>
      </c>
      <c r="G1" s="116" t="s">
        <v>114</v>
      </c>
      <c r="H1" s="116" t="s">
        <v>115</v>
      </c>
      <c r="I1" s="116" t="s">
        <v>116</v>
      </c>
      <c r="J1" s="116" t="s">
        <v>117</v>
      </c>
      <c r="K1" s="116" t="s">
        <v>118</v>
      </c>
      <c r="L1" s="116" t="s">
        <v>119</v>
      </c>
      <c r="M1" s="116" t="s">
        <v>120</v>
      </c>
      <c r="N1" s="116" t="s">
        <v>121</v>
      </c>
      <c r="O1" s="96" t="s">
        <v>109</v>
      </c>
      <c r="P1" s="116" t="s">
        <v>110</v>
      </c>
      <c r="Q1" s="116" t="s">
        <v>111</v>
      </c>
      <c r="R1" s="116" t="s">
        <v>112</v>
      </c>
      <c r="S1" s="116" t="s">
        <v>113</v>
      </c>
      <c r="T1" s="116" t="s">
        <v>114</v>
      </c>
      <c r="U1" s="116" t="s">
        <v>115</v>
      </c>
      <c r="V1" s="116" t="s">
        <v>116</v>
      </c>
      <c r="W1" s="116" t="s">
        <v>117</v>
      </c>
      <c r="X1" s="116" t="s">
        <v>118</v>
      </c>
      <c r="Y1" s="116" t="s">
        <v>119</v>
      </c>
      <c r="Z1" s="116" t="s">
        <v>120</v>
      </c>
      <c r="AA1" s="116" t="s">
        <v>121</v>
      </c>
      <c r="AB1" s="96" t="s">
        <v>109</v>
      </c>
      <c r="AC1" s="116" t="s">
        <v>110</v>
      </c>
      <c r="AD1" s="116" t="s">
        <v>111</v>
      </c>
      <c r="AE1" s="116" t="s">
        <v>112</v>
      </c>
      <c r="AF1" s="116" t="s">
        <v>113</v>
      </c>
      <c r="AG1" s="116" t="s">
        <v>114</v>
      </c>
      <c r="AH1" s="116" t="s">
        <v>115</v>
      </c>
      <c r="AI1" s="116" t="s">
        <v>116</v>
      </c>
      <c r="AJ1" s="116" t="s">
        <v>117</v>
      </c>
      <c r="AK1" s="116" t="s">
        <v>118</v>
      </c>
      <c r="AL1" s="116" t="s">
        <v>119</v>
      </c>
      <c r="AM1" s="116" t="s">
        <v>120</v>
      </c>
      <c r="AN1" s="116" t="s">
        <v>121</v>
      </c>
      <c r="AO1" s="96" t="s">
        <v>109</v>
      </c>
      <c r="AP1" s="116" t="s">
        <v>110</v>
      </c>
      <c r="AQ1" s="116" t="s">
        <v>111</v>
      </c>
      <c r="AR1" s="116" t="s">
        <v>112</v>
      </c>
      <c r="AS1" s="116" t="s">
        <v>113</v>
      </c>
      <c r="AT1" s="116" t="s">
        <v>114</v>
      </c>
      <c r="AU1" s="116" t="s">
        <v>115</v>
      </c>
      <c r="AV1" s="116" t="s">
        <v>116</v>
      </c>
      <c r="AW1" s="116" t="s">
        <v>117</v>
      </c>
      <c r="AX1" s="116" t="s">
        <v>118</v>
      </c>
      <c r="AY1" s="116" t="s">
        <v>119</v>
      </c>
      <c r="AZ1" s="116" t="s">
        <v>120</v>
      </c>
      <c r="BA1" s="116" t="s">
        <v>121</v>
      </c>
      <c r="BB1" s="96" t="s">
        <v>109</v>
      </c>
      <c r="BC1" s="116" t="s">
        <v>110</v>
      </c>
      <c r="BD1" s="116" t="s">
        <v>111</v>
      </c>
      <c r="BE1" s="116" t="s">
        <v>112</v>
      </c>
      <c r="BF1" s="116" t="s">
        <v>113</v>
      </c>
      <c r="BG1" s="116" t="s">
        <v>114</v>
      </c>
      <c r="BH1" s="116" t="s">
        <v>115</v>
      </c>
      <c r="BI1" s="116" t="s">
        <v>116</v>
      </c>
      <c r="BJ1" s="116" t="s">
        <v>117</v>
      </c>
      <c r="BK1" s="116" t="s">
        <v>118</v>
      </c>
      <c r="BL1" s="116" t="s">
        <v>119</v>
      </c>
      <c r="BM1" s="116" t="s">
        <v>120</v>
      </c>
      <c r="BN1" s="116" t="s">
        <v>121</v>
      </c>
      <c r="BO1" s="96" t="s">
        <v>109</v>
      </c>
      <c r="BP1" s="116" t="s">
        <v>110</v>
      </c>
      <c r="BQ1" s="116" t="s">
        <v>111</v>
      </c>
      <c r="BR1" s="116" t="s">
        <v>112</v>
      </c>
      <c r="BS1" s="116" t="s">
        <v>113</v>
      </c>
      <c r="BT1" s="116" t="s">
        <v>114</v>
      </c>
      <c r="BU1" s="116" t="s">
        <v>115</v>
      </c>
      <c r="BV1" s="116" t="s">
        <v>116</v>
      </c>
      <c r="BW1" s="116" t="s">
        <v>117</v>
      </c>
      <c r="BX1" s="116" t="s">
        <v>118</v>
      </c>
      <c r="BY1" s="116" t="s">
        <v>119</v>
      </c>
      <c r="BZ1" s="116" t="s">
        <v>120</v>
      </c>
      <c r="CA1" s="116" t="s">
        <v>121</v>
      </c>
      <c r="CB1" s="96" t="s">
        <v>109</v>
      </c>
    </row>
    <row r="2" spans="1:80">
      <c r="B2" s="83" t="s">
        <v>146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97">
        <v>2025</v>
      </c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97">
        <v>2026</v>
      </c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97">
        <v>2027</v>
      </c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97">
        <v>2028</v>
      </c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97">
        <v>2029</v>
      </c>
      <c r="BP2" s="116"/>
      <c r="BQ2" s="116"/>
      <c r="BR2" s="116"/>
      <c r="BS2" s="116"/>
      <c r="BT2" s="116"/>
      <c r="BU2" s="116"/>
      <c r="BV2" s="116"/>
      <c r="BW2" s="116"/>
      <c r="BX2" s="116"/>
      <c r="BY2" s="116"/>
      <c r="BZ2" s="116"/>
      <c r="CA2" s="116"/>
      <c r="CB2" s="97">
        <v>2030</v>
      </c>
    </row>
    <row r="3" spans="1:80">
      <c r="O3" s="98"/>
      <c r="AB3" s="98"/>
      <c r="AO3" s="98"/>
      <c r="BB3" s="98"/>
      <c r="BO3" s="98"/>
      <c r="CB3" s="98"/>
    </row>
    <row r="4" spans="1:80">
      <c r="A4" s="87" t="s">
        <v>147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98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98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98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98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98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98"/>
    </row>
    <row r="5" spans="1:80">
      <c r="A5" t="s">
        <v>148</v>
      </c>
      <c r="B5" s="1">
        <f>Annahmen!C19</f>
        <v>833.33333333333337</v>
      </c>
      <c r="C5" s="1">
        <f>$B$5</f>
        <v>833.33333333333337</v>
      </c>
      <c r="D5" s="1">
        <f t="shared" ref="D5:N5" si="0">$B$5</f>
        <v>833.33333333333337</v>
      </c>
      <c r="E5" s="1">
        <f t="shared" si="0"/>
        <v>833.33333333333337</v>
      </c>
      <c r="F5" s="1">
        <f t="shared" si="0"/>
        <v>833.33333333333337</v>
      </c>
      <c r="G5" s="1">
        <f t="shared" si="0"/>
        <v>833.33333333333337</v>
      </c>
      <c r="H5" s="1">
        <f t="shared" si="0"/>
        <v>833.33333333333337</v>
      </c>
      <c r="I5" s="1">
        <f t="shared" si="0"/>
        <v>833.33333333333337</v>
      </c>
      <c r="J5" s="1">
        <f t="shared" si="0"/>
        <v>833.33333333333337</v>
      </c>
      <c r="K5" s="1">
        <f t="shared" si="0"/>
        <v>833.33333333333337</v>
      </c>
      <c r="L5" s="1">
        <f t="shared" si="0"/>
        <v>833.33333333333337</v>
      </c>
      <c r="M5" s="1">
        <f t="shared" si="0"/>
        <v>833.33333333333337</v>
      </c>
      <c r="N5" s="1">
        <f t="shared" si="0"/>
        <v>833.33333333333337</v>
      </c>
      <c r="O5" s="99">
        <f>SUM(C5:N5)</f>
        <v>10000</v>
      </c>
      <c r="P5" s="1">
        <f>$B$5</f>
        <v>833.33333333333337</v>
      </c>
      <c r="Q5" s="1">
        <f t="shared" ref="Q5:AA5" si="1">$B$5</f>
        <v>833.33333333333337</v>
      </c>
      <c r="R5" s="1">
        <f t="shared" si="1"/>
        <v>833.33333333333337</v>
      </c>
      <c r="S5" s="1">
        <f t="shared" si="1"/>
        <v>833.33333333333337</v>
      </c>
      <c r="T5" s="1">
        <f t="shared" si="1"/>
        <v>833.33333333333337</v>
      </c>
      <c r="U5" s="1">
        <f t="shared" si="1"/>
        <v>833.33333333333337</v>
      </c>
      <c r="V5" s="1">
        <f t="shared" si="1"/>
        <v>833.33333333333337</v>
      </c>
      <c r="W5" s="1">
        <f t="shared" si="1"/>
        <v>833.33333333333337</v>
      </c>
      <c r="X5" s="1">
        <f t="shared" si="1"/>
        <v>833.33333333333337</v>
      </c>
      <c r="Y5" s="1">
        <f t="shared" si="1"/>
        <v>833.33333333333337</v>
      </c>
      <c r="Z5" s="1">
        <f t="shared" si="1"/>
        <v>833.33333333333337</v>
      </c>
      <c r="AA5" s="1">
        <f t="shared" si="1"/>
        <v>833.33333333333337</v>
      </c>
      <c r="AB5" s="99">
        <f>SUM(P5:AA5)</f>
        <v>10000</v>
      </c>
      <c r="AC5" s="1">
        <f>$B$5</f>
        <v>833.33333333333337</v>
      </c>
      <c r="AD5" s="1">
        <f t="shared" ref="AD5:AN5" si="2">$B$5</f>
        <v>833.33333333333337</v>
      </c>
      <c r="AE5" s="1">
        <f t="shared" si="2"/>
        <v>833.33333333333337</v>
      </c>
      <c r="AF5" s="1">
        <f t="shared" si="2"/>
        <v>833.33333333333337</v>
      </c>
      <c r="AG5" s="1">
        <f t="shared" si="2"/>
        <v>833.33333333333337</v>
      </c>
      <c r="AH5" s="1">
        <f t="shared" si="2"/>
        <v>833.33333333333337</v>
      </c>
      <c r="AI5" s="1">
        <f t="shared" si="2"/>
        <v>833.33333333333337</v>
      </c>
      <c r="AJ5" s="1">
        <f t="shared" si="2"/>
        <v>833.33333333333337</v>
      </c>
      <c r="AK5" s="1">
        <f t="shared" si="2"/>
        <v>833.33333333333337</v>
      </c>
      <c r="AL5" s="1">
        <f t="shared" si="2"/>
        <v>833.33333333333337</v>
      </c>
      <c r="AM5" s="1">
        <f t="shared" si="2"/>
        <v>833.33333333333337</v>
      </c>
      <c r="AN5" s="1">
        <f t="shared" si="2"/>
        <v>833.33333333333337</v>
      </c>
      <c r="AO5" s="99">
        <f>SUM(AC5:AN5)</f>
        <v>10000</v>
      </c>
      <c r="AP5" s="1">
        <f>$B$5</f>
        <v>833.33333333333337</v>
      </c>
      <c r="AQ5" s="1">
        <f t="shared" ref="AQ5:BA5" si="3">$B$5</f>
        <v>833.33333333333337</v>
      </c>
      <c r="AR5" s="1">
        <f t="shared" si="3"/>
        <v>833.33333333333337</v>
      </c>
      <c r="AS5" s="1">
        <f t="shared" si="3"/>
        <v>833.33333333333337</v>
      </c>
      <c r="AT5" s="1">
        <f t="shared" si="3"/>
        <v>833.33333333333337</v>
      </c>
      <c r="AU5" s="1">
        <f t="shared" si="3"/>
        <v>833.33333333333337</v>
      </c>
      <c r="AV5" s="1">
        <f t="shared" si="3"/>
        <v>833.33333333333337</v>
      </c>
      <c r="AW5" s="1">
        <f t="shared" si="3"/>
        <v>833.33333333333337</v>
      </c>
      <c r="AX5" s="1">
        <f t="shared" si="3"/>
        <v>833.33333333333337</v>
      </c>
      <c r="AY5" s="1">
        <f t="shared" si="3"/>
        <v>833.33333333333337</v>
      </c>
      <c r="AZ5" s="1">
        <f t="shared" si="3"/>
        <v>833.33333333333337</v>
      </c>
      <c r="BA5" s="1">
        <f t="shared" si="3"/>
        <v>833.33333333333337</v>
      </c>
      <c r="BB5" s="99">
        <f>SUM(AP5:BA5)</f>
        <v>10000</v>
      </c>
      <c r="BC5" s="1">
        <f>$B$5</f>
        <v>833.33333333333337</v>
      </c>
      <c r="BD5" s="1">
        <f t="shared" ref="BD5:BN5" si="4">$B$5</f>
        <v>833.33333333333337</v>
      </c>
      <c r="BE5" s="1">
        <f t="shared" si="4"/>
        <v>833.33333333333337</v>
      </c>
      <c r="BF5" s="1">
        <f t="shared" si="4"/>
        <v>833.33333333333337</v>
      </c>
      <c r="BG5" s="1">
        <f t="shared" si="4"/>
        <v>833.33333333333337</v>
      </c>
      <c r="BH5" s="1">
        <f t="shared" si="4"/>
        <v>833.33333333333337</v>
      </c>
      <c r="BI5" s="1">
        <f t="shared" si="4"/>
        <v>833.33333333333337</v>
      </c>
      <c r="BJ5" s="1">
        <f t="shared" si="4"/>
        <v>833.33333333333337</v>
      </c>
      <c r="BK5" s="1">
        <f t="shared" si="4"/>
        <v>833.33333333333337</v>
      </c>
      <c r="BL5" s="1">
        <f t="shared" si="4"/>
        <v>833.33333333333337</v>
      </c>
      <c r="BM5" s="1">
        <f t="shared" si="4"/>
        <v>833.33333333333337</v>
      </c>
      <c r="BN5" s="1">
        <f t="shared" si="4"/>
        <v>833.33333333333337</v>
      </c>
      <c r="BO5" s="99">
        <f>SUM(BC5:BN5)</f>
        <v>10000</v>
      </c>
      <c r="BP5" s="1">
        <f>$B$5</f>
        <v>833.33333333333337</v>
      </c>
      <c r="BQ5" s="1">
        <f t="shared" ref="BQ5:CA5" si="5">$B$5</f>
        <v>833.33333333333337</v>
      </c>
      <c r="BR5" s="1">
        <f t="shared" si="5"/>
        <v>833.33333333333337</v>
      </c>
      <c r="BS5" s="1">
        <f t="shared" si="5"/>
        <v>833.33333333333337</v>
      </c>
      <c r="BT5" s="1">
        <f t="shared" si="5"/>
        <v>833.33333333333337</v>
      </c>
      <c r="BU5" s="1">
        <f t="shared" si="5"/>
        <v>833.33333333333337</v>
      </c>
      <c r="BV5" s="1">
        <f t="shared" si="5"/>
        <v>833.33333333333337</v>
      </c>
      <c r="BW5" s="1">
        <f t="shared" si="5"/>
        <v>833.33333333333337</v>
      </c>
      <c r="BX5" s="1">
        <f t="shared" si="5"/>
        <v>833.33333333333337</v>
      </c>
      <c r="BY5" s="1">
        <f t="shared" si="5"/>
        <v>833.33333333333337</v>
      </c>
      <c r="BZ5" s="1">
        <f t="shared" si="5"/>
        <v>833.33333333333337</v>
      </c>
      <c r="CA5" s="1">
        <f t="shared" si="5"/>
        <v>833.33333333333337</v>
      </c>
      <c r="CB5" s="99">
        <f>SUM(BP5:CA5)</f>
        <v>10000</v>
      </c>
    </row>
    <row r="6" spans="1:80">
      <c r="A6" t="s">
        <v>149</v>
      </c>
      <c r="B6" s="8">
        <f>Annahmen!C17</f>
        <v>0.05</v>
      </c>
      <c r="C6" s="7">
        <f>B7*$B$6/12</f>
        <v>250</v>
      </c>
      <c r="D6" s="7">
        <f t="shared" ref="D6:BP6" si="6">C7*$B$6/12</f>
        <v>246.5277777777778</v>
      </c>
      <c r="E6" s="7">
        <f t="shared" si="6"/>
        <v>243.05555555555554</v>
      </c>
      <c r="F6" s="7">
        <f t="shared" si="6"/>
        <v>239.58333333333334</v>
      </c>
      <c r="G6" s="7">
        <f t="shared" si="6"/>
        <v>236.11111111111109</v>
      </c>
      <c r="H6" s="7">
        <f t="shared" si="6"/>
        <v>232.63888888888883</v>
      </c>
      <c r="I6" s="7">
        <f t="shared" si="6"/>
        <v>229.16666666666663</v>
      </c>
      <c r="J6" s="7">
        <f t="shared" si="6"/>
        <v>225.69444444444437</v>
      </c>
      <c r="K6" s="7">
        <f t="shared" si="6"/>
        <v>222.22222222222217</v>
      </c>
      <c r="L6" s="7">
        <f t="shared" si="6"/>
        <v>218.74999999999991</v>
      </c>
      <c r="M6" s="7">
        <f t="shared" si="6"/>
        <v>215.27777777777769</v>
      </c>
      <c r="N6" s="7">
        <f t="shared" si="6"/>
        <v>211.80555555555546</v>
      </c>
      <c r="O6" s="100">
        <f>SUM(C6:N6)</f>
        <v>2770.8333333333335</v>
      </c>
      <c r="P6" s="7">
        <f t="shared" si="6"/>
        <v>208.33333333333323</v>
      </c>
      <c r="Q6" s="7">
        <f t="shared" si="6"/>
        <v>204.861111111111</v>
      </c>
      <c r="R6" s="7">
        <f t="shared" si="6"/>
        <v>201.38888888888877</v>
      </c>
      <c r="S6" s="7">
        <f t="shared" si="6"/>
        <v>197.91666666666652</v>
      </c>
      <c r="T6" s="7">
        <f t="shared" si="6"/>
        <v>194.44444444444431</v>
      </c>
      <c r="U6" s="7">
        <f t="shared" si="6"/>
        <v>190.97222222222206</v>
      </c>
      <c r="V6" s="7">
        <f t="shared" si="6"/>
        <v>187.4999999999998</v>
      </c>
      <c r="W6" s="7">
        <f t="shared" si="6"/>
        <v>184.0277777777776</v>
      </c>
      <c r="X6" s="7">
        <f t="shared" si="6"/>
        <v>180.55555555555534</v>
      </c>
      <c r="Y6" s="7">
        <f t="shared" si="6"/>
        <v>177.08333333333314</v>
      </c>
      <c r="Z6" s="7">
        <f t="shared" si="6"/>
        <v>173.61111111111089</v>
      </c>
      <c r="AA6" s="7">
        <f t="shared" si="6"/>
        <v>170.13888888888866</v>
      </c>
      <c r="AB6" s="100">
        <f xml:space="preserve"> SUM(P6:AA6)</f>
        <v>2270.8333333333317</v>
      </c>
      <c r="AC6" s="7">
        <f t="shared" si="6"/>
        <v>166.66666666666643</v>
      </c>
      <c r="AD6" s="7">
        <f t="shared" si="6"/>
        <v>163.1944444444442</v>
      </c>
      <c r="AE6" s="7">
        <f t="shared" si="6"/>
        <v>159.72222222222197</v>
      </c>
      <c r="AF6" s="7">
        <f t="shared" si="6"/>
        <v>156.24999999999974</v>
      </c>
      <c r="AG6" s="7">
        <f t="shared" si="6"/>
        <v>152.77777777777752</v>
      </c>
      <c r="AH6" s="7">
        <f t="shared" si="6"/>
        <v>149.30555555555529</v>
      </c>
      <c r="AI6" s="7">
        <f t="shared" si="6"/>
        <v>145.83333333333303</v>
      </c>
      <c r="AJ6" s="7">
        <f t="shared" si="6"/>
        <v>142.3611111111108</v>
      </c>
      <c r="AK6" s="7">
        <f t="shared" si="6"/>
        <v>138.88888888888857</v>
      </c>
      <c r="AL6" s="7">
        <f t="shared" si="6"/>
        <v>135.41666666666637</v>
      </c>
      <c r="AM6" s="7">
        <f t="shared" si="6"/>
        <v>131.94444444444414</v>
      </c>
      <c r="AN6" s="7">
        <f t="shared" si="6"/>
        <v>128.47222222222192</v>
      </c>
      <c r="AO6" s="100">
        <f xml:space="preserve"> SUM(AC6:AN6)</f>
        <v>1770.8333333333301</v>
      </c>
      <c r="AP6" s="7">
        <f t="shared" si="6"/>
        <v>124.9999999999997</v>
      </c>
      <c r="AQ6" s="7">
        <f t="shared" si="6"/>
        <v>121.52777777777749</v>
      </c>
      <c r="AR6" s="7">
        <f t="shared" si="6"/>
        <v>118.05555555555527</v>
      </c>
      <c r="AS6" s="7">
        <f t="shared" si="6"/>
        <v>114.58333333333304</v>
      </c>
      <c r="AT6" s="7">
        <f t="shared" si="6"/>
        <v>111.11111111111084</v>
      </c>
      <c r="AU6" s="7">
        <f t="shared" si="6"/>
        <v>107.63888888888862</v>
      </c>
      <c r="AV6" s="7">
        <f t="shared" si="6"/>
        <v>104.1666666666664</v>
      </c>
      <c r="AW6" s="7">
        <f t="shared" si="6"/>
        <v>100.69444444444417</v>
      </c>
      <c r="AX6" s="7">
        <f t="shared" si="6"/>
        <v>97.222222222221959</v>
      </c>
      <c r="AY6" s="7">
        <f t="shared" si="6"/>
        <v>93.749999999999758</v>
      </c>
      <c r="AZ6" s="7">
        <f t="shared" si="6"/>
        <v>90.27777777777753</v>
      </c>
      <c r="BA6" s="7">
        <f t="shared" si="6"/>
        <v>86.805555555555316</v>
      </c>
      <c r="BB6" s="100">
        <f xml:space="preserve"> SUM(AP6:BA6)</f>
        <v>1270.8333333333303</v>
      </c>
      <c r="BC6" s="7">
        <f t="shared" si="6"/>
        <v>83.333333333333101</v>
      </c>
      <c r="BD6" s="7">
        <f t="shared" si="6"/>
        <v>79.861111111110873</v>
      </c>
      <c r="BE6" s="7">
        <f t="shared" si="6"/>
        <v>76.388888888888658</v>
      </c>
      <c r="BF6" s="7">
        <f t="shared" si="6"/>
        <v>72.916666666666444</v>
      </c>
      <c r="BG6" s="7">
        <f t="shared" si="6"/>
        <v>69.44444444444423</v>
      </c>
      <c r="BH6" s="7">
        <f t="shared" si="6"/>
        <v>65.972222222222001</v>
      </c>
      <c r="BI6" s="7">
        <f t="shared" si="6"/>
        <v>62.499999999999773</v>
      </c>
      <c r="BJ6" s="7">
        <f t="shared" si="6"/>
        <v>59.027777777777551</v>
      </c>
      <c r="BK6" s="7">
        <f t="shared" si="6"/>
        <v>55.555555555555323</v>
      </c>
      <c r="BL6" s="7">
        <f t="shared" si="6"/>
        <v>52.083333333333108</v>
      </c>
      <c r="BM6" s="7">
        <f t="shared" si="6"/>
        <v>48.61111111111088</v>
      </c>
      <c r="BN6" s="7">
        <f t="shared" si="6"/>
        <v>45.138888888888651</v>
      </c>
      <c r="BO6" s="100">
        <f xml:space="preserve"> SUM(BC6:BN6)</f>
        <v>770.83333333333064</v>
      </c>
      <c r="BP6" s="7">
        <f t="shared" si="6"/>
        <v>41.666666666666423</v>
      </c>
      <c r="BQ6" s="7">
        <f t="shared" ref="BQ6:CB6" si="7">BP7*$B$6/12</f>
        <v>38.194444444444201</v>
      </c>
      <c r="BR6" s="7">
        <f t="shared" si="7"/>
        <v>34.72222222222198</v>
      </c>
      <c r="BS6" s="7">
        <f t="shared" si="7"/>
        <v>31.249999999999755</v>
      </c>
      <c r="BT6" s="7">
        <f t="shared" si="7"/>
        <v>27.777777777777533</v>
      </c>
      <c r="BU6" s="7">
        <f t="shared" si="7"/>
        <v>24.305555555555312</v>
      </c>
      <c r="BV6" s="7">
        <f t="shared" si="7"/>
        <v>20.833333333333091</v>
      </c>
      <c r="BW6" s="7">
        <f t="shared" si="7"/>
        <v>17.361111111110869</v>
      </c>
      <c r="BX6" s="7">
        <f t="shared" si="7"/>
        <v>13.888888888888649</v>
      </c>
      <c r="BY6" s="7">
        <f t="shared" si="7"/>
        <v>10.416666666666424</v>
      </c>
      <c r="BZ6" s="7">
        <f t="shared" si="7"/>
        <v>6.9444444444442013</v>
      </c>
      <c r="CA6" s="7">
        <f t="shared" si="7"/>
        <v>3.4722222222219794</v>
      </c>
      <c r="CB6" s="100">
        <f xml:space="preserve"> SUM(BP6:CA6)</f>
        <v>270.83333333333047</v>
      </c>
    </row>
    <row r="7" spans="1:80">
      <c r="A7" s="41" t="s">
        <v>150</v>
      </c>
      <c r="B7" s="88">
        <f>Annahmen!C16</f>
        <v>60000</v>
      </c>
      <c r="C7" s="88">
        <f>B7-C5</f>
        <v>59166.666666666664</v>
      </c>
      <c r="D7" s="88">
        <f t="shared" ref="D7:N7" si="8">C7-D5</f>
        <v>58333.333333333328</v>
      </c>
      <c r="E7" s="88">
        <f t="shared" si="8"/>
        <v>57499.999999999993</v>
      </c>
      <c r="F7" s="88">
        <f t="shared" si="8"/>
        <v>56666.666666666657</v>
      </c>
      <c r="G7" s="88">
        <f t="shared" si="8"/>
        <v>55833.333333333321</v>
      </c>
      <c r="H7" s="88">
        <f t="shared" si="8"/>
        <v>54999.999999999985</v>
      </c>
      <c r="I7" s="88">
        <f t="shared" si="8"/>
        <v>54166.66666666665</v>
      </c>
      <c r="J7" s="88">
        <f t="shared" si="8"/>
        <v>53333.333333333314</v>
      </c>
      <c r="K7" s="88">
        <f t="shared" si="8"/>
        <v>52499.999999999978</v>
      </c>
      <c r="L7" s="88">
        <f t="shared" si="8"/>
        <v>51666.666666666642</v>
      </c>
      <c r="M7" s="88">
        <f t="shared" si="8"/>
        <v>50833.333333333307</v>
      </c>
      <c r="N7" s="88">
        <f t="shared" si="8"/>
        <v>49999.999999999971</v>
      </c>
      <c r="O7" s="101">
        <f>N7</f>
        <v>49999.999999999971</v>
      </c>
      <c r="P7" s="88">
        <f>O7-P5</f>
        <v>49166.666666666635</v>
      </c>
      <c r="Q7" s="88">
        <f t="shared" ref="Q7:AA7" si="9">P7-Q5</f>
        <v>48333.333333333299</v>
      </c>
      <c r="R7" s="88">
        <f t="shared" si="9"/>
        <v>47499.999999999964</v>
      </c>
      <c r="S7" s="88">
        <f t="shared" si="9"/>
        <v>46666.666666666628</v>
      </c>
      <c r="T7" s="88">
        <f t="shared" si="9"/>
        <v>45833.333333333292</v>
      </c>
      <c r="U7" s="88">
        <f t="shared" si="9"/>
        <v>44999.999999999956</v>
      </c>
      <c r="V7" s="88">
        <f t="shared" si="9"/>
        <v>44166.666666666621</v>
      </c>
      <c r="W7" s="88">
        <f t="shared" si="9"/>
        <v>43333.333333333285</v>
      </c>
      <c r="X7" s="88">
        <f t="shared" si="9"/>
        <v>42499.999999999949</v>
      </c>
      <c r="Y7" s="88">
        <f t="shared" si="9"/>
        <v>41666.666666666613</v>
      </c>
      <c r="Z7" s="88">
        <f t="shared" si="9"/>
        <v>40833.333333333278</v>
      </c>
      <c r="AA7" s="88">
        <f t="shared" si="9"/>
        <v>39999.999999999942</v>
      </c>
      <c r="AB7" s="101">
        <f>AA7</f>
        <v>39999.999999999942</v>
      </c>
      <c r="AC7" s="88">
        <f>AB7-AC5</f>
        <v>39166.666666666606</v>
      </c>
      <c r="AD7" s="88">
        <f t="shared" ref="AD7:AN7" si="10">AC7-AD5</f>
        <v>38333.33333333327</v>
      </c>
      <c r="AE7" s="88">
        <f t="shared" si="10"/>
        <v>37499.999999999935</v>
      </c>
      <c r="AF7" s="88">
        <f t="shared" si="10"/>
        <v>36666.666666666599</v>
      </c>
      <c r="AG7" s="88">
        <f t="shared" si="10"/>
        <v>35833.333333333263</v>
      </c>
      <c r="AH7" s="88">
        <f t="shared" si="10"/>
        <v>34999.999999999927</v>
      </c>
      <c r="AI7" s="88">
        <f t="shared" si="10"/>
        <v>34166.666666666591</v>
      </c>
      <c r="AJ7" s="88">
        <f t="shared" si="10"/>
        <v>33333.333333333256</v>
      </c>
      <c r="AK7" s="88">
        <f t="shared" si="10"/>
        <v>32499.999999999924</v>
      </c>
      <c r="AL7" s="88">
        <f t="shared" si="10"/>
        <v>31666.666666666591</v>
      </c>
      <c r="AM7" s="88">
        <f t="shared" si="10"/>
        <v>30833.333333333259</v>
      </c>
      <c r="AN7" s="88">
        <f t="shared" si="10"/>
        <v>29999.999999999927</v>
      </c>
      <c r="AO7" s="101">
        <f>AN7</f>
        <v>29999.999999999927</v>
      </c>
      <c r="AP7" s="88">
        <f>AO7-AP5</f>
        <v>29166.666666666595</v>
      </c>
      <c r="AQ7" s="88">
        <f t="shared" ref="AQ7:BA7" si="11">AP7-AQ5</f>
        <v>28333.333333333263</v>
      </c>
      <c r="AR7" s="88">
        <f t="shared" si="11"/>
        <v>27499.999999999931</v>
      </c>
      <c r="AS7" s="88">
        <f t="shared" si="11"/>
        <v>26666.666666666599</v>
      </c>
      <c r="AT7" s="88">
        <f t="shared" si="11"/>
        <v>25833.333333333267</v>
      </c>
      <c r="AU7" s="88">
        <f t="shared" si="11"/>
        <v>24999.999999999935</v>
      </c>
      <c r="AV7" s="88">
        <f t="shared" si="11"/>
        <v>24166.666666666602</v>
      </c>
      <c r="AW7" s="88">
        <f t="shared" si="11"/>
        <v>23333.33333333327</v>
      </c>
      <c r="AX7" s="88">
        <f t="shared" si="11"/>
        <v>22499.999999999938</v>
      </c>
      <c r="AY7" s="88">
        <f t="shared" si="11"/>
        <v>21666.666666666606</v>
      </c>
      <c r="AZ7" s="88">
        <f t="shared" si="11"/>
        <v>20833.333333333274</v>
      </c>
      <c r="BA7" s="88">
        <f t="shared" si="11"/>
        <v>19999.999999999942</v>
      </c>
      <c r="BB7" s="101">
        <f>BA7</f>
        <v>19999.999999999942</v>
      </c>
      <c r="BC7" s="88">
        <f>BB7-BC5</f>
        <v>19166.66666666661</v>
      </c>
      <c r="BD7" s="88">
        <f t="shared" ref="BD7:BN7" si="12">BC7-BD5</f>
        <v>18333.333333333278</v>
      </c>
      <c r="BE7" s="88">
        <f t="shared" si="12"/>
        <v>17499.999999999945</v>
      </c>
      <c r="BF7" s="88">
        <f t="shared" si="12"/>
        <v>16666.666666666613</v>
      </c>
      <c r="BG7" s="88">
        <f t="shared" si="12"/>
        <v>15833.333333333279</v>
      </c>
      <c r="BH7" s="88">
        <f t="shared" si="12"/>
        <v>14999.999999999945</v>
      </c>
      <c r="BI7" s="88">
        <f t="shared" si="12"/>
        <v>14166.666666666611</v>
      </c>
      <c r="BJ7" s="88">
        <f t="shared" si="12"/>
        <v>13333.333333333278</v>
      </c>
      <c r="BK7" s="88">
        <f t="shared" si="12"/>
        <v>12499.999999999944</v>
      </c>
      <c r="BL7" s="88">
        <f t="shared" si="12"/>
        <v>11666.66666666661</v>
      </c>
      <c r="BM7" s="88">
        <f t="shared" si="12"/>
        <v>10833.333333333276</v>
      </c>
      <c r="BN7" s="88">
        <f t="shared" si="12"/>
        <v>9999.9999999999418</v>
      </c>
      <c r="BO7" s="101">
        <f>BN7</f>
        <v>9999.9999999999418</v>
      </c>
      <c r="BP7" s="88">
        <f>BO7-BP5</f>
        <v>9166.6666666666079</v>
      </c>
      <c r="BQ7" s="88">
        <f t="shared" ref="BQ7:CA7" si="13">BP7-BQ5</f>
        <v>8333.3333333332739</v>
      </c>
      <c r="BR7" s="88">
        <f t="shared" si="13"/>
        <v>7499.9999999999409</v>
      </c>
      <c r="BS7" s="88">
        <f t="shared" si="13"/>
        <v>6666.6666666666079</v>
      </c>
      <c r="BT7" s="88">
        <f t="shared" si="13"/>
        <v>5833.3333333332748</v>
      </c>
      <c r="BU7" s="88">
        <f t="shared" si="13"/>
        <v>4999.9999999999418</v>
      </c>
      <c r="BV7" s="88">
        <f t="shared" si="13"/>
        <v>4166.6666666666088</v>
      </c>
      <c r="BW7" s="88">
        <f t="shared" si="13"/>
        <v>3333.3333333332753</v>
      </c>
      <c r="BX7" s="88">
        <f t="shared" si="13"/>
        <v>2499.9999999999418</v>
      </c>
      <c r="BY7" s="88">
        <f t="shared" si="13"/>
        <v>1666.6666666666083</v>
      </c>
      <c r="BZ7" s="88">
        <f t="shared" si="13"/>
        <v>833.33333333327494</v>
      </c>
      <c r="CA7" s="88">
        <f t="shared" si="13"/>
        <v>-5.8435034588910639E-11</v>
      </c>
      <c r="CB7" s="101">
        <f>CA7</f>
        <v>-5.8435034588910639E-11</v>
      </c>
    </row>
    <row r="8" spans="1:80">
      <c r="O8" s="98"/>
      <c r="AB8" s="98"/>
      <c r="AO8" s="98"/>
      <c r="BB8" s="98"/>
      <c r="BO8" s="98"/>
      <c r="CB8" s="98"/>
    </row>
    <row r="9" spans="1:80">
      <c r="O9" s="98"/>
      <c r="AB9" s="98"/>
      <c r="AO9" s="98"/>
      <c r="BB9" s="98"/>
      <c r="BO9" s="98"/>
      <c r="CB9" s="98"/>
    </row>
    <row r="10" spans="1:80">
      <c r="A10" s="5" t="s">
        <v>11</v>
      </c>
      <c r="O10" s="98"/>
      <c r="AB10" s="98"/>
      <c r="AO10" s="98"/>
      <c r="BB10" s="98"/>
      <c r="BO10" s="98"/>
      <c r="CB10" s="98"/>
    </row>
    <row r="11" spans="1:80">
      <c r="A11" s="90" t="s">
        <v>148</v>
      </c>
      <c r="B11" s="89">
        <f>Annahmen!C23</f>
        <v>0</v>
      </c>
      <c r="C11" s="89">
        <f>B11</f>
        <v>0</v>
      </c>
      <c r="D11" s="89">
        <f t="shared" ref="D11:N11" si="14">C11</f>
        <v>0</v>
      </c>
      <c r="E11" s="89">
        <f t="shared" si="14"/>
        <v>0</v>
      </c>
      <c r="F11" s="89">
        <f t="shared" si="14"/>
        <v>0</v>
      </c>
      <c r="G11" s="89">
        <f t="shared" si="14"/>
        <v>0</v>
      </c>
      <c r="H11" s="89">
        <f t="shared" si="14"/>
        <v>0</v>
      </c>
      <c r="I11" s="89">
        <f t="shared" si="14"/>
        <v>0</v>
      </c>
      <c r="J11" s="89">
        <f t="shared" si="14"/>
        <v>0</v>
      </c>
      <c r="K11" s="89">
        <f t="shared" si="14"/>
        <v>0</v>
      </c>
      <c r="L11" s="89">
        <f t="shared" si="14"/>
        <v>0</v>
      </c>
      <c r="M11" s="89">
        <f t="shared" si="14"/>
        <v>0</v>
      </c>
      <c r="N11" s="89">
        <f t="shared" si="14"/>
        <v>0</v>
      </c>
      <c r="O11" s="102">
        <f>SUM(B11:N11)</f>
        <v>0</v>
      </c>
      <c r="P11" s="89">
        <f>B11</f>
        <v>0</v>
      </c>
      <c r="Q11" s="89">
        <f t="shared" ref="Q11:AA11" si="15">C11</f>
        <v>0</v>
      </c>
      <c r="R11" s="89">
        <f t="shared" si="15"/>
        <v>0</v>
      </c>
      <c r="S11" s="89">
        <f t="shared" si="15"/>
        <v>0</v>
      </c>
      <c r="T11" s="89">
        <f t="shared" si="15"/>
        <v>0</v>
      </c>
      <c r="U11" s="89">
        <f t="shared" si="15"/>
        <v>0</v>
      </c>
      <c r="V11" s="89">
        <f t="shared" si="15"/>
        <v>0</v>
      </c>
      <c r="W11" s="89">
        <f t="shared" si="15"/>
        <v>0</v>
      </c>
      <c r="X11" s="89">
        <f t="shared" si="15"/>
        <v>0</v>
      </c>
      <c r="Y11" s="89">
        <f t="shared" si="15"/>
        <v>0</v>
      </c>
      <c r="Z11" s="89">
        <f t="shared" si="15"/>
        <v>0</v>
      </c>
      <c r="AA11" s="89">
        <f t="shared" si="15"/>
        <v>0</v>
      </c>
      <c r="AB11" s="102">
        <f>SUM(P11:AA11)</f>
        <v>0</v>
      </c>
      <c r="AC11" s="89">
        <f>O11</f>
        <v>0</v>
      </c>
      <c r="AD11" s="89">
        <f t="shared" ref="AD11" si="16">P11</f>
        <v>0</v>
      </c>
      <c r="AE11" s="89">
        <f t="shared" ref="AE11" si="17">Q11</f>
        <v>0</v>
      </c>
      <c r="AF11" s="89">
        <f t="shared" ref="AF11" si="18">R11</f>
        <v>0</v>
      </c>
      <c r="AG11" s="89">
        <f t="shared" ref="AG11" si="19">S11</f>
        <v>0</v>
      </c>
      <c r="AH11" s="89">
        <f t="shared" ref="AH11" si="20">T11</f>
        <v>0</v>
      </c>
      <c r="AI11" s="89">
        <f t="shared" ref="AI11" si="21">U11</f>
        <v>0</v>
      </c>
      <c r="AJ11" s="89">
        <f t="shared" ref="AJ11" si="22">V11</f>
        <v>0</v>
      </c>
      <c r="AK11" s="89">
        <f t="shared" ref="AK11" si="23">W11</f>
        <v>0</v>
      </c>
      <c r="AL11" s="89">
        <f t="shared" ref="AL11" si="24">X11</f>
        <v>0</v>
      </c>
      <c r="AM11" s="89">
        <f t="shared" ref="AM11" si="25">Y11</f>
        <v>0</v>
      </c>
      <c r="AN11" s="89">
        <f t="shared" ref="AN11" si="26">Z11</f>
        <v>0</v>
      </c>
      <c r="AO11" s="102">
        <f>SUM(AC11:AN11)</f>
        <v>0</v>
      </c>
      <c r="AP11" s="89">
        <f>AB11</f>
        <v>0</v>
      </c>
      <c r="AQ11" s="89">
        <f t="shared" ref="AQ11" si="27">AC11</f>
        <v>0</v>
      </c>
      <c r="AR11" s="89">
        <f t="shared" ref="AR11" si="28">AD11</f>
        <v>0</v>
      </c>
      <c r="AS11" s="89">
        <f t="shared" ref="AS11" si="29">AE11</f>
        <v>0</v>
      </c>
      <c r="AT11" s="89">
        <f t="shared" ref="AT11" si="30">AF11</f>
        <v>0</v>
      </c>
      <c r="AU11" s="89">
        <f t="shared" ref="AU11" si="31">AG11</f>
        <v>0</v>
      </c>
      <c r="AV11" s="89">
        <f t="shared" ref="AV11" si="32">AH11</f>
        <v>0</v>
      </c>
      <c r="AW11" s="89">
        <f t="shared" ref="AW11" si="33">AI11</f>
        <v>0</v>
      </c>
      <c r="AX11" s="89">
        <f t="shared" ref="AX11" si="34">AJ11</f>
        <v>0</v>
      </c>
      <c r="AY11" s="89">
        <f t="shared" ref="AY11" si="35">AK11</f>
        <v>0</v>
      </c>
      <c r="AZ11" s="89">
        <f t="shared" ref="AZ11" si="36">AL11</f>
        <v>0</v>
      </c>
      <c r="BA11" s="89">
        <f t="shared" ref="BA11" si="37">AM11</f>
        <v>0</v>
      </c>
      <c r="BB11" s="102">
        <f>SUM(AP11:BA11)</f>
        <v>0</v>
      </c>
      <c r="BC11" s="89">
        <f>AO11</f>
        <v>0</v>
      </c>
      <c r="BD11" s="89">
        <f t="shared" ref="BD11" si="38">AP11</f>
        <v>0</v>
      </c>
      <c r="BE11" s="89">
        <f t="shared" ref="BE11" si="39">AQ11</f>
        <v>0</v>
      </c>
      <c r="BF11" s="89">
        <f t="shared" ref="BF11" si="40">AR11</f>
        <v>0</v>
      </c>
      <c r="BG11" s="89">
        <f t="shared" ref="BG11" si="41">AS11</f>
        <v>0</v>
      </c>
      <c r="BH11" s="89">
        <f t="shared" ref="BH11" si="42">AT11</f>
        <v>0</v>
      </c>
      <c r="BI11" s="89">
        <f t="shared" ref="BI11" si="43">AU11</f>
        <v>0</v>
      </c>
      <c r="BJ11" s="89">
        <f t="shared" ref="BJ11" si="44">AV11</f>
        <v>0</v>
      </c>
      <c r="BK11" s="89">
        <f t="shared" ref="BK11" si="45">AW11</f>
        <v>0</v>
      </c>
      <c r="BL11" s="89">
        <f t="shared" ref="BL11" si="46">AX11</f>
        <v>0</v>
      </c>
      <c r="BM11" s="89">
        <f t="shared" ref="BM11" si="47">AY11</f>
        <v>0</v>
      </c>
      <c r="BN11" s="89">
        <f t="shared" ref="BN11" si="48">AZ11</f>
        <v>0</v>
      </c>
      <c r="BO11" s="102">
        <f>SUM(BC11:BN11)</f>
        <v>0</v>
      </c>
      <c r="BP11" s="89">
        <f>BB11</f>
        <v>0</v>
      </c>
      <c r="BQ11" s="89">
        <f t="shared" ref="BQ11" si="49">BC11</f>
        <v>0</v>
      </c>
      <c r="BR11" s="89">
        <f t="shared" ref="BR11" si="50">BD11</f>
        <v>0</v>
      </c>
      <c r="BS11" s="89">
        <f t="shared" ref="BS11" si="51">BE11</f>
        <v>0</v>
      </c>
      <c r="BT11" s="89">
        <f t="shared" ref="BT11" si="52">BF11</f>
        <v>0</v>
      </c>
      <c r="BU11" s="89">
        <f t="shared" ref="BU11" si="53">BG11</f>
        <v>0</v>
      </c>
      <c r="BV11" s="89">
        <f t="shared" ref="BV11" si="54">BH11</f>
        <v>0</v>
      </c>
      <c r="BW11" s="89">
        <f t="shared" ref="BW11" si="55">BI11</f>
        <v>0</v>
      </c>
      <c r="BX11" s="89">
        <f t="shared" ref="BX11" si="56">BJ11</f>
        <v>0</v>
      </c>
      <c r="BY11" s="89">
        <f t="shared" ref="BY11" si="57">BK11</f>
        <v>0</v>
      </c>
      <c r="BZ11" s="89">
        <f t="shared" ref="BZ11" si="58">BL11</f>
        <v>0</v>
      </c>
      <c r="CA11" s="89">
        <f t="shared" ref="CA11" si="59">BM11</f>
        <v>0</v>
      </c>
      <c r="CB11" s="102">
        <f>SUM(BP11:CA11)</f>
        <v>0</v>
      </c>
    </row>
    <row r="12" spans="1:80">
      <c r="A12" t="s">
        <v>149</v>
      </c>
      <c r="B12" s="8">
        <f>Annahmen!C21</f>
        <v>0.05</v>
      </c>
      <c r="C12" s="7">
        <f>B13*$B$12/12</f>
        <v>0</v>
      </c>
      <c r="D12" s="7">
        <f t="shared" ref="D12:O12" si="60">C13*$B$12/12</f>
        <v>0</v>
      </c>
      <c r="E12" s="7">
        <f t="shared" si="60"/>
        <v>0</v>
      </c>
      <c r="F12" s="7">
        <f t="shared" si="60"/>
        <v>0</v>
      </c>
      <c r="G12" s="7">
        <f t="shared" si="60"/>
        <v>0</v>
      </c>
      <c r="H12" s="7">
        <f t="shared" si="60"/>
        <v>0</v>
      </c>
      <c r="I12" s="7">
        <f t="shared" si="60"/>
        <v>0</v>
      </c>
      <c r="J12" s="7">
        <f t="shared" si="60"/>
        <v>0</v>
      </c>
      <c r="K12" s="7">
        <f t="shared" si="60"/>
        <v>0</v>
      </c>
      <c r="L12" s="7">
        <f t="shared" si="60"/>
        <v>0</v>
      </c>
      <c r="M12" s="7">
        <f t="shared" si="60"/>
        <v>0</v>
      </c>
      <c r="N12" s="7">
        <f>M13*$B$12/12</f>
        <v>0</v>
      </c>
      <c r="O12" s="100">
        <f>SUM(C12:N12)</f>
        <v>0</v>
      </c>
      <c r="P12" s="1">
        <f>O13*$B$12/12</f>
        <v>0</v>
      </c>
      <c r="Q12" s="1">
        <f t="shared" ref="Q12:AA12" si="61">P13*$B$12/12</f>
        <v>0</v>
      </c>
      <c r="R12" s="1">
        <f t="shared" si="61"/>
        <v>0</v>
      </c>
      <c r="S12" s="1">
        <f t="shared" si="61"/>
        <v>0</v>
      </c>
      <c r="T12" s="1">
        <f t="shared" si="61"/>
        <v>0</v>
      </c>
      <c r="U12" s="1">
        <f t="shared" si="61"/>
        <v>0</v>
      </c>
      <c r="V12" s="1">
        <f t="shared" si="61"/>
        <v>0</v>
      </c>
      <c r="W12" s="1">
        <f t="shared" si="61"/>
        <v>0</v>
      </c>
      <c r="X12" s="1">
        <f t="shared" si="61"/>
        <v>0</v>
      </c>
      <c r="Y12" s="1">
        <f t="shared" si="61"/>
        <v>0</v>
      </c>
      <c r="Z12" s="1">
        <f t="shared" si="61"/>
        <v>0</v>
      </c>
      <c r="AA12" s="1">
        <f t="shared" si="61"/>
        <v>0</v>
      </c>
      <c r="AB12" s="103">
        <f>SUM(P12:AA12)</f>
        <v>0</v>
      </c>
      <c r="AC12" s="1">
        <f>AB13*$B$12/12</f>
        <v>0</v>
      </c>
      <c r="AD12" s="1">
        <f t="shared" ref="AD12:AN12" si="62">AC13*$B$12/12</f>
        <v>0</v>
      </c>
      <c r="AE12" s="1">
        <f t="shared" si="62"/>
        <v>0</v>
      </c>
      <c r="AF12" s="1">
        <f t="shared" si="62"/>
        <v>0</v>
      </c>
      <c r="AG12" s="1">
        <f t="shared" si="62"/>
        <v>0</v>
      </c>
      <c r="AH12" s="1">
        <f t="shared" si="62"/>
        <v>0</v>
      </c>
      <c r="AI12" s="1">
        <f t="shared" si="62"/>
        <v>0</v>
      </c>
      <c r="AJ12" s="1">
        <f t="shared" si="62"/>
        <v>0</v>
      </c>
      <c r="AK12" s="1">
        <f t="shared" si="62"/>
        <v>0</v>
      </c>
      <c r="AL12" s="1">
        <f t="shared" si="62"/>
        <v>0</v>
      </c>
      <c r="AM12" s="1">
        <f t="shared" si="62"/>
        <v>0</v>
      </c>
      <c r="AN12" s="1">
        <f t="shared" si="62"/>
        <v>0</v>
      </c>
      <c r="AO12" s="103">
        <f>SUM(AC12:AN12)</f>
        <v>0</v>
      </c>
      <c r="AP12" s="1">
        <f>AO13*$B$12/12</f>
        <v>0</v>
      </c>
      <c r="AQ12" s="1">
        <f t="shared" ref="AQ12:BA12" si="63">AP13*$B$12/12</f>
        <v>0</v>
      </c>
      <c r="AR12" s="1">
        <f t="shared" si="63"/>
        <v>0</v>
      </c>
      <c r="AS12" s="1">
        <f t="shared" si="63"/>
        <v>0</v>
      </c>
      <c r="AT12" s="1">
        <f t="shared" si="63"/>
        <v>0</v>
      </c>
      <c r="AU12" s="1">
        <f t="shared" si="63"/>
        <v>0</v>
      </c>
      <c r="AV12" s="1">
        <f t="shared" si="63"/>
        <v>0</v>
      </c>
      <c r="AW12" s="1">
        <f t="shared" si="63"/>
        <v>0</v>
      </c>
      <c r="AX12" s="1">
        <f t="shared" si="63"/>
        <v>0</v>
      </c>
      <c r="AY12" s="1">
        <f t="shared" si="63"/>
        <v>0</v>
      </c>
      <c r="AZ12" s="1">
        <f t="shared" si="63"/>
        <v>0</v>
      </c>
      <c r="BA12" s="1">
        <f t="shared" si="63"/>
        <v>0</v>
      </c>
      <c r="BB12" s="103">
        <f>SUM(AP12:BA12)</f>
        <v>0</v>
      </c>
      <c r="BC12" s="1">
        <f>BB13*$B$12/12</f>
        <v>0</v>
      </c>
      <c r="BD12" s="1">
        <f t="shared" ref="BD12:BN12" si="64">BC13*$B$12/12</f>
        <v>0</v>
      </c>
      <c r="BE12" s="1">
        <f t="shared" si="64"/>
        <v>0</v>
      </c>
      <c r="BF12" s="1">
        <f t="shared" si="64"/>
        <v>0</v>
      </c>
      <c r="BG12" s="1">
        <f t="shared" si="64"/>
        <v>0</v>
      </c>
      <c r="BH12" s="1">
        <f t="shared" si="64"/>
        <v>0</v>
      </c>
      <c r="BI12" s="1">
        <f t="shared" si="64"/>
        <v>0</v>
      </c>
      <c r="BJ12" s="1">
        <f t="shared" si="64"/>
        <v>0</v>
      </c>
      <c r="BK12" s="1">
        <f t="shared" si="64"/>
        <v>0</v>
      </c>
      <c r="BL12" s="1">
        <f t="shared" si="64"/>
        <v>0</v>
      </c>
      <c r="BM12" s="1">
        <f t="shared" si="64"/>
        <v>0</v>
      </c>
      <c r="BN12" s="1">
        <f t="shared" si="64"/>
        <v>0</v>
      </c>
      <c r="BO12" s="103">
        <f>SUM(BC12:BN12)</f>
        <v>0</v>
      </c>
      <c r="BP12" s="1">
        <f>BO13*$B$12/12</f>
        <v>0</v>
      </c>
      <c r="BQ12" s="1">
        <f t="shared" ref="BQ12:CA12" si="65">BP13*$B$12/12</f>
        <v>0</v>
      </c>
      <c r="BR12" s="1">
        <f t="shared" si="65"/>
        <v>0</v>
      </c>
      <c r="BS12" s="1">
        <f t="shared" si="65"/>
        <v>0</v>
      </c>
      <c r="BT12" s="1">
        <f t="shared" si="65"/>
        <v>0</v>
      </c>
      <c r="BU12" s="1">
        <f t="shared" si="65"/>
        <v>0</v>
      </c>
      <c r="BV12" s="1">
        <f t="shared" si="65"/>
        <v>0</v>
      </c>
      <c r="BW12" s="1">
        <f t="shared" si="65"/>
        <v>0</v>
      </c>
      <c r="BX12" s="1">
        <f t="shared" si="65"/>
        <v>0</v>
      </c>
      <c r="BY12" s="1">
        <f t="shared" si="65"/>
        <v>0</v>
      </c>
      <c r="BZ12" s="1">
        <f t="shared" si="65"/>
        <v>0</v>
      </c>
      <c r="CA12" s="1">
        <f t="shared" si="65"/>
        <v>0</v>
      </c>
      <c r="CB12" s="103">
        <f>SUM(BP12:CA12)</f>
        <v>0</v>
      </c>
    </row>
    <row r="13" spans="1:80">
      <c r="A13" s="40" t="s">
        <v>150</v>
      </c>
      <c r="B13" s="94">
        <f>Annahmen!C20</f>
        <v>0</v>
      </c>
      <c r="C13" s="94">
        <f>B13-C11</f>
        <v>0</v>
      </c>
      <c r="D13" s="94">
        <f t="shared" ref="D13:O13" si="66">C13-D11</f>
        <v>0</v>
      </c>
      <c r="E13" s="94">
        <f t="shared" si="66"/>
        <v>0</v>
      </c>
      <c r="F13" s="94">
        <f t="shared" si="66"/>
        <v>0</v>
      </c>
      <c r="G13" s="94">
        <f t="shared" si="66"/>
        <v>0</v>
      </c>
      <c r="H13" s="94">
        <f t="shared" si="66"/>
        <v>0</v>
      </c>
      <c r="I13" s="94">
        <f t="shared" si="66"/>
        <v>0</v>
      </c>
      <c r="J13" s="94">
        <f t="shared" si="66"/>
        <v>0</v>
      </c>
      <c r="K13" s="94">
        <f t="shared" si="66"/>
        <v>0</v>
      </c>
      <c r="L13" s="94">
        <f t="shared" si="66"/>
        <v>0</v>
      </c>
      <c r="M13" s="94">
        <f t="shared" si="66"/>
        <v>0</v>
      </c>
      <c r="N13" s="94">
        <f t="shared" si="66"/>
        <v>0</v>
      </c>
      <c r="O13" s="103">
        <f>N13</f>
        <v>0</v>
      </c>
      <c r="P13" s="94">
        <f>O13-P11</f>
        <v>0</v>
      </c>
      <c r="Q13" s="94">
        <f t="shared" ref="Q13:AA13" si="67">P13-Q11</f>
        <v>0</v>
      </c>
      <c r="R13" s="94">
        <f t="shared" si="67"/>
        <v>0</v>
      </c>
      <c r="S13" s="94">
        <f t="shared" si="67"/>
        <v>0</v>
      </c>
      <c r="T13" s="94">
        <f t="shared" si="67"/>
        <v>0</v>
      </c>
      <c r="U13" s="94">
        <f t="shared" si="67"/>
        <v>0</v>
      </c>
      <c r="V13" s="94">
        <f t="shared" si="67"/>
        <v>0</v>
      </c>
      <c r="W13" s="94">
        <f t="shared" si="67"/>
        <v>0</v>
      </c>
      <c r="X13" s="94">
        <f t="shared" si="67"/>
        <v>0</v>
      </c>
      <c r="Y13" s="94">
        <f t="shared" si="67"/>
        <v>0</v>
      </c>
      <c r="Z13" s="94">
        <f t="shared" si="67"/>
        <v>0</v>
      </c>
      <c r="AA13" s="94">
        <f t="shared" si="67"/>
        <v>0</v>
      </c>
      <c r="AB13" s="98">
        <f>AA13</f>
        <v>0</v>
      </c>
      <c r="AC13" s="94">
        <f>AB13-AC11</f>
        <v>0</v>
      </c>
      <c r="AD13" s="94">
        <f t="shared" ref="AD13:AN13" si="68">AC13-AD11</f>
        <v>0</v>
      </c>
      <c r="AE13" s="94">
        <f t="shared" si="68"/>
        <v>0</v>
      </c>
      <c r="AF13" s="94">
        <f t="shared" si="68"/>
        <v>0</v>
      </c>
      <c r="AG13" s="94">
        <f t="shared" si="68"/>
        <v>0</v>
      </c>
      <c r="AH13" s="94">
        <f t="shared" si="68"/>
        <v>0</v>
      </c>
      <c r="AI13" s="94">
        <f t="shared" si="68"/>
        <v>0</v>
      </c>
      <c r="AJ13" s="94">
        <f t="shared" si="68"/>
        <v>0</v>
      </c>
      <c r="AK13" s="94">
        <f t="shared" si="68"/>
        <v>0</v>
      </c>
      <c r="AL13" s="94">
        <f t="shared" si="68"/>
        <v>0</v>
      </c>
      <c r="AM13" s="94">
        <f t="shared" si="68"/>
        <v>0</v>
      </c>
      <c r="AN13" s="94">
        <f t="shared" si="68"/>
        <v>0</v>
      </c>
      <c r="AO13" s="98">
        <f>AN13</f>
        <v>0</v>
      </c>
      <c r="AP13" s="94">
        <f>AO13-AP11</f>
        <v>0</v>
      </c>
      <c r="AQ13" s="94">
        <f t="shared" ref="AQ13:BA13" si="69">AP13-AQ11</f>
        <v>0</v>
      </c>
      <c r="AR13" s="94">
        <f t="shared" si="69"/>
        <v>0</v>
      </c>
      <c r="AS13" s="94">
        <f t="shared" si="69"/>
        <v>0</v>
      </c>
      <c r="AT13" s="94">
        <f t="shared" si="69"/>
        <v>0</v>
      </c>
      <c r="AU13" s="94">
        <f t="shared" si="69"/>
        <v>0</v>
      </c>
      <c r="AV13" s="94">
        <f t="shared" si="69"/>
        <v>0</v>
      </c>
      <c r="AW13" s="94">
        <f t="shared" si="69"/>
        <v>0</v>
      </c>
      <c r="AX13" s="94">
        <f t="shared" si="69"/>
        <v>0</v>
      </c>
      <c r="AY13" s="94">
        <f t="shared" si="69"/>
        <v>0</v>
      </c>
      <c r="AZ13" s="94">
        <f t="shared" si="69"/>
        <v>0</v>
      </c>
      <c r="BA13" s="94">
        <f t="shared" si="69"/>
        <v>0</v>
      </c>
      <c r="BB13" s="98">
        <f>BA13</f>
        <v>0</v>
      </c>
      <c r="BC13" s="94">
        <f>BB13-BC11</f>
        <v>0</v>
      </c>
      <c r="BD13" s="94">
        <f t="shared" ref="BD13:BN13" si="70">BC13-BD11</f>
        <v>0</v>
      </c>
      <c r="BE13" s="94">
        <f t="shared" si="70"/>
        <v>0</v>
      </c>
      <c r="BF13" s="94">
        <f t="shared" si="70"/>
        <v>0</v>
      </c>
      <c r="BG13" s="94">
        <f t="shared" si="70"/>
        <v>0</v>
      </c>
      <c r="BH13" s="94">
        <f t="shared" si="70"/>
        <v>0</v>
      </c>
      <c r="BI13" s="94">
        <f t="shared" si="70"/>
        <v>0</v>
      </c>
      <c r="BJ13" s="94">
        <f t="shared" si="70"/>
        <v>0</v>
      </c>
      <c r="BK13" s="94">
        <f t="shared" si="70"/>
        <v>0</v>
      </c>
      <c r="BL13" s="94">
        <f t="shared" si="70"/>
        <v>0</v>
      </c>
      <c r="BM13" s="94">
        <f t="shared" si="70"/>
        <v>0</v>
      </c>
      <c r="BN13" s="94">
        <f t="shared" si="70"/>
        <v>0</v>
      </c>
      <c r="BO13" s="98">
        <f>BN13</f>
        <v>0</v>
      </c>
      <c r="BP13" s="94">
        <f>BO13-BP11</f>
        <v>0</v>
      </c>
      <c r="BQ13" s="94">
        <f t="shared" ref="BQ13:CA13" si="71">BP13-BQ11</f>
        <v>0</v>
      </c>
      <c r="BR13" s="94">
        <f t="shared" si="71"/>
        <v>0</v>
      </c>
      <c r="BS13" s="94">
        <f t="shared" si="71"/>
        <v>0</v>
      </c>
      <c r="BT13" s="94">
        <f t="shared" si="71"/>
        <v>0</v>
      </c>
      <c r="BU13" s="94">
        <f t="shared" si="71"/>
        <v>0</v>
      </c>
      <c r="BV13" s="94">
        <f t="shared" si="71"/>
        <v>0</v>
      </c>
      <c r="BW13" s="94">
        <f t="shared" si="71"/>
        <v>0</v>
      </c>
      <c r="BX13" s="94">
        <f t="shared" si="71"/>
        <v>0</v>
      </c>
      <c r="BY13" s="94">
        <f t="shared" si="71"/>
        <v>0</v>
      </c>
      <c r="BZ13" s="94">
        <f t="shared" si="71"/>
        <v>0</v>
      </c>
      <c r="CA13" s="94">
        <f t="shared" si="71"/>
        <v>0</v>
      </c>
      <c r="CB13" s="98">
        <f>CA13</f>
        <v>0</v>
      </c>
    </row>
    <row r="14" spans="1:80" ht="17.25" customHeight="1">
      <c r="A14" s="92" t="s">
        <v>151</v>
      </c>
      <c r="B14" s="91"/>
      <c r="C14" s="93">
        <f>C6+C12</f>
        <v>250</v>
      </c>
      <c r="D14" s="93">
        <f t="shared" ref="D14:AB14" si="72">D6+D12</f>
        <v>246.5277777777778</v>
      </c>
      <c r="E14" s="93">
        <f t="shared" si="72"/>
        <v>243.05555555555554</v>
      </c>
      <c r="F14" s="93">
        <f t="shared" si="72"/>
        <v>239.58333333333334</v>
      </c>
      <c r="G14" s="93">
        <f t="shared" si="72"/>
        <v>236.11111111111109</v>
      </c>
      <c r="H14" s="93">
        <f t="shared" si="72"/>
        <v>232.63888888888883</v>
      </c>
      <c r="I14" s="93">
        <f t="shared" si="72"/>
        <v>229.16666666666663</v>
      </c>
      <c r="J14" s="93">
        <f t="shared" si="72"/>
        <v>225.69444444444437</v>
      </c>
      <c r="K14" s="93">
        <f t="shared" si="72"/>
        <v>222.22222222222217</v>
      </c>
      <c r="L14" s="93">
        <f t="shared" si="72"/>
        <v>218.74999999999991</v>
      </c>
      <c r="M14" s="93">
        <f t="shared" si="72"/>
        <v>215.27777777777769</v>
      </c>
      <c r="N14" s="93">
        <f t="shared" si="72"/>
        <v>211.80555555555546</v>
      </c>
      <c r="O14" s="104">
        <f t="shared" si="72"/>
        <v>2770.8333333333335</v>
      </c>
      <c r="P14" s="93">
        <f t="shared" si="72"/>
        <v>208.33333333333323</v>
      </c>
      <c r="Q14" s="93">
        <f t="shared" si="72"/>
        <v>204.861111111111</v>
      </c>
      <c r="R14" s="93">
        <f t="shared" si="72"/>
        <v>201.38888888888877</v>
      </c>
      <c r="S14" s="93">
        <f t="shared" si="72"/>
        <v>197.91666666666652</v>
      </c>
      <c r="T14" s="93">
        <f t="shared" si="72"/>
        <v>194.44444444444431</v>
      </c>
      <c r="U14" s="93">
        <f t="shared" si="72"/>
        <v>190.97222222222206</v>
      </c>
      <c r="V14" s="93">
        <f t="shared" si="72"/>
        <v>187.4999999999998</v>
      </c>
      <c r="W14" s="93">
        <f t="shared" si="72"/>
        <v>184.0277777777776</v>
      </c>
      <c r="X14" s="93">
        <f t="shared" si="72"/>
        <v>180.55555555555534</v>
      </c>
      <c r="Y14" s="93">
        <f t="shared" si="72"/>
        <v>177.08333333333314</v>
      </c>
      <c r="Z14" s="93">
        <f t="shared" si="72"/>
        <v>173.61111111111089</v>
      </c>
      <c r="AA14" s="93">
        <f t="shared" si="72"/>
        <v>170.13888888888866</v>
      </c>
      <c r="AB14" s="104">
        <f t="shared" si="72"/>
        <v>2270.8333333333317</v>
      </c>
      <c r="AC14" s="93">
        <f t="shared" ref="AC14:AO14" si="73">AC6+AC12</f>
        <v>166.66666666666643</v>
      </c>
      <c r="AD14" s="93">
        <f t="shared" si="73"/>
        <v>163.1944444444442</v>
      </c>
      <c r="AE14" s="93">
        <f t="shared" si="73"/>
        <v>159.72222222222197</v>
      </c>
      <c r="AF14" s="93">
        <f t="shared" si="73"/>
        <v>156.24999999999974</v>
      </c>
      <c r="AG14" s="93">
        <f t="shared" si="73"/>
        <v>152.77777777777752</v>
      </c>
      <c r="AH14" s="93">
        <f t="shared" si="73"/>
        <v>149.30555555555529</v>
      </c>
      <c r="AI14" s="93">
        <f t="shared" si="73"/>
        <v>145.83333333333303</v>
      </c>
      <c r="AJ14" s="93">
        <f t="shared" si="73"/>
        <v>142.3611111111108</v>
      </c>
      <c r="AK14" s="93">
        <f t="shared" si="73"/>
        <v>138.88888888888857</v>
      </c>
      <c r="AL14" s="93">
        <f t="shared" si="73"/>
        <v>135.41666666666637</v>
      </c>
      <c r="AM14" s="93">
        <f t="shared" si="73"/>
        <v>131.94444444444414</v>
      </c>
      <c r="AN14" s="93">
        <f t="shared" si="73"/>
        <v>128.47222222222192</v>
      </c>
      <c r="AO14" s="104">
        <f t="shared" si="73"/>
        <v>1770.8333333333301</v>
      </c>
      <c r="AP14" s="93">
        <f t="shared" ref="AP14:BB14" si="74">AP6+AP12</f>
        <v>124.9999999999997</v>
      </c>
      <c r="AQ14" s="93">
        <f t="shared" si="74"/>
        <v>121.52777777777749</v>
      </c>
      <c r="AR14" s="93">
        <f t="shared" si="74"/>
        <v>118.05555555555527</v>
      </c>
      <c r="AS14" s="93">
        <f t="shared" si="74"/>
        <v>114.58333333333304</v>
      </c>
      <c r="AT14" s="93">
        <f t="shared" si="74"/>
        <v>111.11111111111084</v>
      </c>
      <c r="AU14" s="93">
        <f t="shared" si="74"/>
        <v>107.63888888888862</v>
      </c>
      <c r="AV14" s="93">
        <f t="shared" si="74"/>
        <v>104.1666666666664</v>
      </c>
      <c r="AW14" s="93">
        <f t="shared" si="74"/>
        <v>100.69444444444417</v>
      </c>
      <c r="AX14" s="93">
        <f t="shared" si="74"/>
        <v>97.222222222221959</v>
      </c>
      <c r="AY14" s="93">
        <f t="shared" si="74"/>
        <v>93.749999999999758</v>
      </c>
      <c r="AZ14" s="93">
        <f t="shared" si="74"/>
        <v>90.27777777777753</v>
      </c>
      <c r="BA14" s="93">
        <f t="shared" si="74"/>
        <v>86.805555555555316</v>
      </c>
      <c r="BB14" s="104">
        <f t="shared" si="74"/>
        <v>1270.8333333333303</v>
      </c>
      <c r="BC14" s="93">
        <f t="shared" ref="BC14:BO14" si="75">BC6+BC12</f>
        <v>83.333333333333101</v>
      </c>
      <c r="BD14" s="93">
        <f t="shared" si="75"/>
        <v>79.861111111110873</v>
      </c>
      <c r="BE14" s="93">
        <f t="shared" si="75"/>
        <v>76.388888888888658</v>
      </c>
      <c r="BF14" s="93">
        <f t="shared" si="75"/>
        <v>72.916666666666444</v>
      </c>
      <c r="BG14" s="93">
        <f t="shared" si="75"/>
        <v>69.44444444444423</v>
      </c>
      <c r="BH14" s="93">
        <f t="shared" si="75"/>
        <v>65.972222222222001</v>
      </c>
      <c r="BI14" s="93">
        <f t="shared" si="75"/>
        <v>62.499999999999773</v>
      </c>
      <c r="BJ14" s="93">
        <f t="shared" si="75"/>
        <v>59.027777777777551</v>
      </c>
      <c r="BK14" s="93">
        <f t="shared" si="75"/>
        <v>55.555555555555323</v>
      </c>
      <c r="BL14" s="93">
        <f t="shared" si="75"/>
        <v>52.083333333333108</v>
      </c>
      <c r="BM14" s="93">
        <f t="shared" si="75"/>
        <v>48.61111111111088</v>
      </c>
      <c r="BN14" s="93">
        <f t="shared" si="75"/>
        <v>45.138888888888651</v>
      </c>
      <c r="BO14" s="104">
        <f t="shared" si="75"/>
        <v>770.83333333333064</v>
      </c>
      <c r="BP14" s="93">
        <f t="shared" ref="BP14:CB14" si="76">BP6+BP12</f>
        <v>41.666666666666423</v>
      </c>
      <c r="BQ14" s="93">
        <f t="shared" si="76"/>
        <v>38.194444444444201</v>
      </c>
      <c r="BR14" s="93">
        <f t="shared" si="76"/>
        <v>34.72222222222198</v>
      </c>
      <c r="BS14" s="93">
        <f t="shared" si="76"/>
        <v>31.249999999999755</v>
      </c>
      <c r="BT14" s="93">
        <f t="shared" si="76"/>
        <v>27.777777777777533</v>
      </c>
      <c r="BU14" s="93">
        <f t="shared" si="76"/>
        <v>24.305555555555312</v>
      </c>
      <c r="BV14" s="93">
        <f t="shared" si="76"/>
        <v>20.833333333333091</v>
      </c>
      <c r="BW14" s="93">
        <f t="shared" si="76"/>
        <v>17.361111111110869</v>
      </c>
      <c r="BX14" s="93">
        <f t="shared" si="76"/>
        <v>13.888888888888649</v>
      </c>
      <c r="BY14" s="93">
        <f t="shared" si="76"/>
        <v>10.416666666666424</v>
      </c>
      <c r="BZ14" s="93">
        <f t="shared" si="76"/>
        <v>6.9444444444442013</v>
      </c>
      <c r="CA14" s="93">
        <f t="shared" si="76"/>
        <v>3.4722222222219794</v>
      </c>
      <c r="CB14" s="104">
        <f t="shared" si="76"/>
        <v>270.83333333333047</v>
      </c>
    </row>
    <row r="15" spans="1:80">
      <c r="O15" s="98"/>
      <c r="AB15" s="98"/>
      <c r="AO15" s="98"/>
      <c r="BB15" s="98"/>
      <c r="BO15" s="98"/>
      <c r="CB15" s="98"/>
    </row>
    <row r="16" spans="1:80">
      <c r="A16" s="91" t="s">
        <v>152</v>
      </c>
      <c r="B16" s="91"/>
      <c r="C16" s="95">
        <f>C5+C11</f>
        <v>833.33333333333337</v>
      </c>
      <c r="D16" s="95">
        <f t="shared" ref="D16:AB16" si="77">D5+D11</f>
        <v>833.33333333333337</v>
      </c>
      <c r="E16" s="95">
        <f t="shared" si="77"/>
        <v>833.33333333333337</v>
      </c>
      <c r="F16" s="95">
        <f t="shared" si="77"/>
        <v>833.33333333333337</v>
      </c>
      <c r="G16" s="95">
        <f t="shared" si="77"/>
        <v>833.33333333333337</v>
      </c>
      <c r="H16" s="95">
        <f t="shared" si="77"/>
        <v>833.33333333333337</v>
      </c>
      <c r="I16" s="95">
        <f t="shared" si="77"/>
        <v>833.33333333333337</v>
      </c>
      <c r="J16" s="95">
        <f t="shared" si="77"/>
        <v>833.33333333333337</v>
      </c>
      <c r="K16" s="95">
        <f t="shared" si="77"/>
        <v>833.33333333333337</v>
      </c>
      <c r="L16" s="95">
        <f t="shared" si="77"/>
        <v>833.33333333333337</v>
      </c>
      <c r="M16" s="95">
        <f t="shared" si="77"/>
        <v>833.33333333333337</v>
      </c>
      <c r="N16" s="95">
        <f t="shared" si="77"/>
        <v>833.33333333333337</v>
      </c>
      <c r="O16" s="105">
        <f t="shared" si="77"/>
        <v>10000</v>
      </c>
      <c r="P16" s="95">
        <f t="shared" si="77"/>
        <v>833.33333333333337</v>
      </c>
      <c r="Q16" s="95">
        <f t="shared" si="77"/>
        <v>833.33333333333337</v>
      </c>
      <c r="R16" s="95">
        <f t="shared" si="77"/>
        <v>833.33333333333337</v>
      </c>
      <c r="S16" s="95">
        <f t="shared" si="77"/>
        <v>833.33333333333337</v>
      </c>
      <c r="T16" s="95">
        <f t="shared" si="77"/>
        <v>833.33333333333337</v>
      </c>
      <c r="U16" s="95">
        <f t="shared" si="77"/>
        <v>833.33333333333337</v>
      </c>
      <c r="V16" s="95">
        <f t="shared" si="77"/>
        <v>833.33333333333337</v>
      </c>
      <c r="W16" s="95">
        <f t="shared" si="77"/>
        <v>833.33333333333337</v>
      </c>
      <c r="X16" s="95">
        <f t="shared" si="77"/>
        <v>833.33333333333337</v>
      </c>
      <c r="Y16" s="95">
        <f t="shared" si="77"/>
        <v>833.33333333333337</v>
      </c>
      <c r="Z16" s="95">
        <f t="shared" si="77"/>
        <v>833.33333333333337</v>
      </c>
      <c r="AA16" s="95">
        <f t="shared" si="77"/>
        <v>833.33333333333337</v>
      </c>
      <c r="AB16" s="105">
        <f t="shared" si="77"/>
        <v>10000</v>
      </c>
      <c r="AC16" s="95">
        <f t="shared" ref="AC16:AO16" si="78">AC5+AC11</f>
        <v>833.33333333333337</v>
      </c>
      <c r="AD16" s="95">
        <f t="shared" si="78"/>
        <v>833.33333333333337</v>
      </c>
      <c r="AE16" s="95">
        <f t="shared" si="78"/>
        <v>833.33333333333337</v>
      </c>
      <c r="AF16" s="95">
        <f t="shared" si="78"/>
        <v>833.33333333333337</v>
      </c>
      <c r="AG16" s="95">
        <f t="shared" si="78"/>
        <v>833.33333333333337</v>
      </c>
      <c r="AH16" s="95">
        <f t="shared" si="78"/>
        <v>833.33333333333337</v>
      </c>
      <c r="AI16" s="95">
        <f t="shared" si="78"/>
        <v>833.33333333333337</v>
      </c>
      <c r="AJ16" s="95">
        <f t="shared" si="78"/>
        <v>833.33333333333337</v>
      </c>
      <c r="AK16" s="95">
        <f t="shared" si="78"/>
        <v>833.33333333333337</v>
      </c>
      <c r="AL16" s="95">
        <f t="shared" si="78"/>
        <v>833.33333333333337</v>
      </c>
      <c r="AM16" s="95">
        <f t="shared" si="78"/>
        <v>833.33333333333337</v>
      </c>
      <c r="AN16" s="95">
        <f t="shared" si="78"/>
        <v>833.33333333333337</v>
      </c>
      <c r="AO16" s="105">
        <f t="shared" si="78"/>
        <v>10000</v>
      </c>
      <c r="AP16" s="95">
        <f t="shared" ref="AP16:BB16" si="79">AP5+AP11</f>
        <v>833.33333333333337</v>
      </c>
      <c r="AQ16" s="95">
        <f t="shared" si="79"/>
        <v>833.33333333333337</v>
      </c>
      <c r="AR16" s="95">
        <f t="shared" si="79"/>
        <v>833.33333333333337</v>
      </c>
      <c r="AS16" s="95">
        <f t="shared" si="79"/>
        <v>833.33333333333337</v>
      </c>
      <c r="AT16" s="95">
        <f t="shared" si="79"/>
        <v>833.33333333333337</v>
      </c>
      <c r="AU16" s="95">
        <f t="shared" si="79"/>
        <v>833.33333333333337</v>
      </c>
      <c r="AV16" s="95">
        <f t="shared" si="79"/>
        <v>833.33333333333337</v>
      </c>
      <c r="AW16" s="95">
        <f t="shared" si="79"/>
        <v>833.33333333333337</v>
      </c>
      <c r="AX16" s="95">
        <f t="shared" si="79"/>
        <v>833.33333333333337</v>
      </c>
      <c r="AY16" s="95">
        <f t="shared" si="79"/>
        <v>833.33333333333337</v>
      </c>
      <c r="AZ16" s="95">
        <f t="shared" si="79"/>
        <v>833.33333333333337</v>
      </c>
      <c r="BA16" s="95">
        <f t="shared" si="79"/>
        <v>833.33333333333337</v>
      </c>
      <c r="BB16" s="105">
        <f t="shared" si="79"/>
        <v>10000</v>
      </c>
      <c r="BC16" s="95">
        <f t="shared" ref="BC16:BO16" si="80">BC5+BC11</f>
        <v>833.33333333333337</v>
      </c>
      <c r="BD16" s="95">
        <f t="shared" si="80"/>
        <v>833.33333333333337</v>
      </c>
      <c r="BE16" s="95">
        <f t="shared" si="80"/>
        <v>833.33333333333337</v>
      </c>
      <c r="BF16" s="95">
        <f t="shared" si="80"/>
        <v>833.33333333333337</v>
      </c>
      <c r="BG16" s="95">
        <f t="shared" si="80"/>
        <v>833.33333333333337</v>
      </c>
      <c r="BH16" s="95">
        <f t="shared" si="80"/>
        <v>833.33333333333337</v>
      </c>
      <c r="BI16" s="95">
        <f t="shared" si="80"/>
        <v>833.33333333333337</v>
      </c>
      <c r="BJ16" s="95">
        <f t="shared" si="80"/>
        <v>833.33333333333337</v>
      </c>
      <c r="BK16" s="95">
        <f t="shared" si="80"/>
        <v>833.33333333333337</v>
      </c>
      <c r="BL16" s="95">
        <f t="shared" si="80"/>
        <v>833.33333333333337</v>
      </c>
      <c r="BM16" s="95">
        <f t="shared" si="80"/>
        <v>833.33333333333337</v>
      </c>
      <c r="BN16" s="95">
        <f t="shared" si="80"/>
        <v>833.33333333333337</v>
      </c>
      <c r="BO16" s="105">
        <f t="shared" si="80"/>
        <v>10000</v>
      </c>
      <c r="BP16" s="95">
        <f t="shared" ref="BP16:CB16" si="81">BP5+BP11</f>
        <v>833.33333333333337</v>
      </c>
      <c r="BQ16" s="95">
        <f t="shared" si="81"/>
        <v>833.33333333333337</v>
      </c>
      <c r="BR16" s="95">
        <f t="shared" si="81"/>
        <v>833.33333333333337</v>
      </c>
      <c r="BS16" s="95">
        <f t="shared" si="81"/>
        <v>833.33333333333337</v>
      </c>
      <c r="BT16" s="95">
        <f t="shared" si="81"/>
        <v>833.33333333333337</v>
      </c>
      <c r="BU16" s="95">
        <f t="shared" si="81"/>
        <v>833.33333333333337</v>
      </c>
      <c r="BV16" s="95">
        <f t="shared" si="81"/>
        <v>833.33333333333337</v>
      </c>
      <c r="BW16" s="95">
        <f t="shared" si="81"/>
        <v>833.33333333333337</v>
      </c>
      <c r="BX16" s="95">
        <f t="shared" si="81"/>
        <v>833.33333333333337</v>
      </c>
      <c r="BY16" s="95">
        <f t="shared" si="81"/>
        <v>833.33333333333337</v>
      </c>
      <c r="BZ16" s="95">
        <f t="shared" si="81"/>
        <v>833.33333333333337</v>
      </c>
      <c r="CA16" s="95">
        <f t="shared" si="81"/>
        <v>833.33333333333337</v>
      </c>
      <c r="CB16" s="105">
        <f t="shared" si="81"/>
        <v>10000</v>
      </c>
    </row>
    <row r="17" spans="1:80">
      <c r="O17" s="98"/>
      <c r="AB17" s="98"/>
      <c r="AO17" s="98"/>
      <c r="BB17" s="98"/>
      <c r="BO17" s="98"/>
      <c r="CB17" s="98"/>
    </row>
    <row r="18" spans="1:80">
      <c r="A18" s="91" t="s">
        <v>153</v>
      </c>
      <c r="B18" s="91"/>
      <c r="C18" s="93">
        <f>C7+C13</f>
        <v>59166.666666666664</v>
      </c>
      <c r="D18" s="93">
        <f t="shared" ref="D18:AB18" si="82">D7+D13</f>
        <v>58333.333333333328</v>
      </c>
      <c r="E18" s="93">
        <f t="shared" si="82"/>
        <v>57499.999999999993</v>
      </c>
      <c r="F18" s="93">
        <f t="shared" si="82"/>
        <v>56666.666666666657</v>
      </c>
      <c r="G18" s="93">
        <f t="shared" si="82"/>
        <v>55833.333333333321</v>
      </c>
      <c r="H18" s="93">
        <f t="shared" si="82"/>
        <v>54999.999999999985</v>
      </c>
      <c r="I18" s="93">
        <f t="shared" si="82"/>
        <v>54166.66666666665</v>
      </c>
      <c r="J18" s="93">
        <f t="shared" si="82"/>
        <v>53333.333333333314</v>
      </c>
      <c r="K18" s="93">
        <f t="shared" si="82"/>
        <v>52499.999999999978</v>
      </c>
      <c r="L18" s="93">
        <f t="shared" si="82"/>
        <v>51666.666666666642</v>
      </c>
      <c r="M18" s="93">
        <f t="shared" si="82"/>
        <v>50833.333333333307</v>
      </c>
      <c r="N18" s="93">
        <f t="shared" si="82"/>
        <v>49999.999999999971</v>
      </c>
      <c r="O18" s="106">
        <f t="shared" si="82"/>
        <v>49999.999999999971</v>
      </c>
      <c r="P18" s="93">
        <f t="shared" si="82"/>
        <v>49166.666666666635</v>
      </c>
      <c r="Q18" s="93">
        <f t="shared" si="82"/>
        <v>48333.333333333299</v>
      </c>
      <c r="R18" s="93">
        <f t="shared" si="82"/>
        <v>47499.999999999964</v>
      </c>
      <c r="S18" s="93">
        <f t="shared" si="82"/>
        <v>46666.666666666628</v>
      </c>
      <c r="T18" s="93">
        <f t="shared" si="82"/>
        <v>45833.333333333292</v>
      </c>
      <c r="U18" s="93">
        <f t="shared" si="82"/>
        <v>44999.999999999956</v>
      </c>
      <c r="V18" s="93">
        <f t="shared" si="82"/>
        <v>44166.666666666621</v>
      </c>
      <c r="W18" s="93">
        <f t="shared" si="82"/>
        <v>43333.333333333285</v>
      </c>
      <c r="X18" s="93">
        <f t="shared" si="82"/>
        <v>42499.999999999949</v>
      </c>
      <c r="Y18" s="93">
        <f t="shared" si="82"/>
        <v>41666.666666666613</v>
      </c>
      <c r="Z18" s="93">
        <f t="shared" si="82"/>
        <v>40833.333333333278</v>
      </c>
      <c r="AA18" s="93">
        <f t="shared" si="82"/>
        <v>39999.999999999942</v>
      </c>
      <c r="AB18" s="106">
        <f t="shared" si="82"/>
        <v>39999.999999999942</v>
      </c>
      <c r="AC18" s="93">
        <f t="shared" ref="AC18:AO18" si="83">AC7+AC13</f>
        <v>39166.666666666606</v>
      </c>
      <c r="AD18" s="93">
        <f t="shared" si="83"/>
        <v>38333.33333333327</v>
      </c>
      <c r="AE18" s="93">
        <f t="shared" si="83"/>
        <v>37499.999999999935</v>
      </c>
      <c r="AF18" s="93">
        <f t="shared" si="83"/>
        <v>36666.666666666599</v>
      </c>
      <c r="AG18" s="93">
        <f t="shared" si="83"/>
        <v>35833.333333333263</v>
      </c>
      <c r="AH18" s="93">
        <f t="shared" si="83"/>
        <v>34999.999999999927</v>
      </c>
      <c r="AI18" s="93">
        <f t="shared" si="83"/>
        <v>34166.666666666591</v>
      </c>
      <c r="AJ18" s="93">
        <f t="shared" si="83"/>
        <v>33333.333333333256</v>
      </c>
      <c r="AK18" s="93">
        <f t="shared" si="83"/>
        <v>32499.999999999924</v>
      </c>
      <c r="AL18" s="93">
        <f t="shared" si="83"/>
        <v>31666.666666666591</v>
      </c>
      <c r="AM18" s="93">
        <f t="shared" si="83"/>
        <v>30833.333333333259</v>
      </c>
      <c r="AN18" s="93">
        <f t="shared" si="83"/>
        <v>29999.999999999927</v>
      </c>
      <c r="AO18" s="106">
        <f t="shared" si="83"/>
        <v>29999.999999999927</v>
      </c>
      <c r="AP18" s="93">
        <f t="shared" ref="AP18:BB18" si="84">AP7+AP13</f>
        <v>29166.666666666595</v>
      </c>
      <c r="AQ18" s="93">
        <f t="shared" si="84"/>
        <v>28333.333333333263</v>
      </c>
      <c r="AR18" s="93">
        <f t="shared" si="84"/>
        <v>27499.999999999931</v>
      </c>
      <c r="AS18" s="93">
        <f t="shared" si="84"/>
        <v>26666.666666666599</v>
      </c>
      <c r="AT18" s="93">
        <f t="shared" si="84"/>
        <v>25833.333333333267</v>
      </c>
      <c r="AU18" s="93">
        <f t="shared" si="84"/>
        <v>24999.999999999935</v>
      </c>
      <c r="AV18" s="93">
        <f t="shared" si="84"/>
        <v>24166.666666666602</v>
      </c>
      <c r="AW18" s="93">
        <f t="shared" si="84"/>
        <v>23333.33333333327</v>
      </c>
      <c r="AX18" s="93">
        <f t="shared" si="84"/>
        <v>22499.999999999938</v>
      </c>
      <c r="AY18" s="93">
        <f t="shared" si="84"/>
        <v>21666.666666666606</v>
      </c>
      <c r="AZ18" s="93">
        <f t="shared" si="84"/>
        <v>20833.333333333274</v>
      </c>
      <c r="BA18" s="93">
        <f t="shared" si="84"/>
        <v>19999.999999999942</v>
      </c>
      <c r="BB18" s="106">
        <f t="shared" si="84"/>
        <v>19999.999999999942</v>
      </c>
      <c r="BC18" s="93">
        <f t="shared" ref="BC18:BO18" si="85">BC7+BC13</f>
        <v>19166.66666666661</v>
      </c>
      <c r="BD18" s="93">
        <f t="shared" si="85"/>
        <v>18333.333333333278</v>
      </c>
      <c r="BE18" s="93">
        <f t="shared" si="85"/>
        <v>17499.999999999945</v>
      </c>
      <c r="BF18" s="93">
        <f t="shared" si="85"/>
        <v>16666.666666666613</v>
      </c>
      <c r="BG18" s="93">
        <f t="shared" si="85"/>
        <v>15833.333333333279</v>
      </c>
      <c r="BH18" s="93">
        <f t="shared" si="85"/>
        <v>14999.999999999945</v>
      </c>
      <c r="BI18" s="93">
        <f t="shared" si="85"/>
        <v>14166.666666666611</v>
      </c>
      <c r="BJ18" s="93">
        <f t="shared" si="85"/>
        <v>13333.333333333278</v>
      </c>
      <c r="BK18" s="93">
        <f t="shared" si="85"/>
        <v>12499.999999999944</v>
      </c>
      <c r="BL18" s="93">
        <f t="shared" si="85"/>
        <v>11666.66666666661</v>
      </c>
      <c r="BM18" s="93">
        <f t="shared" si="85"/>
        <v>10833.333333333276</v>
      </c>
      <c r="BN18" s="93">
        <f t="shared" si="85"/>
        <v>9999.9999999999418</v>
      </c>
      <c r="BO18" s="106">
        <f t="shared" si="85"/>
        <v>9999.9999999999418</v>
      </c>
      <c r="BP18" s="93">
        <f t="shared" ref="BP18:CB18" si="86">BP7+BP13</f>
        <v>9166.6666666666079</v>
      </c>
      <c r="BQ18" s="93">
        <f t="shared" si="86"/>
        <v>8333.3333333332739</v>
      </c>
      <c r="BR18" s="93">
        <f t="shared" si="86"/>
        <v>7499.9999999999409</v>
      </c>
      <c r="BS18" s="93">
        <f t="shared" si="86"/>
        <v>6666.6666666666079</v>
      </c>
      <c r="BT18" s="93">
        <f t="shared" si="86"/>
        <v>5833.3333333332748</v>
      </c>
      <c r="BU18" s="93">
        <f t="shared" si="86"/>
        <v>4999.9999999999418</v>
      </c>
      <c r="BV18" s="93">
        <f t="shared" si="86"/>
        <v>4166.6666666666088</v>
      </c>
      <c r="BW18" s="93">
        <f t="shared" si="86"/>
        <v>3333.3333333332753</v>
      </c>
      <c r="BX18" s="93">
        <f t="shared" si="86"/>
        <v>2499.9999999999418</v>
      </c>
      <c r="BY18" s="93">
        <f t="shared" si="86"/>
        <v>1666.6666666666083</v>
      </c>
      <c r="BZ18" s="93">
        <f t="shared" si="86"/>
        <v>833.33333333327494</v>
      </c>
      <c r="CA18" s="93">
        <f t="shared" si="86"/>
        <v>-5.8435034588910639E-11</v>
      </c>
      <c r="CB18" s="106">
        <f t="shared" si="86"/>
        <v>-5.8435034588910639E-11</v>
      </c>
    </row>
  </sheetData>
  <mergeCells count="72">
    <mergeCell ref="N1:N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A1:AA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N1:AN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BA1:BA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N1:BN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CA1:CA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C39C-964A-4DC3-A590-AA68FCB0BC7E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Paul Westphal</cp:lastModifiedBy>
  <cp:revision/>
  <dcterms:created xsi:type="dcterms:W3CDTF">2025-12-18T08:44:58Z</dcterms:created>
  <dcterms:modified xsi:type="dcterms:W3CDTF">2026-01-07T20:08:25Z</dcterms:modified>
  <cp:category/>
  <cp:contentStatus/>
</cp:coreProperties>
</file>